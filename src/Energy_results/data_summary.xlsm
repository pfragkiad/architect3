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pivotTables/pivotTable8.xml" ContentType="application/vnd.openxmlformats-officedocument.spreadsheetml.pivotTab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pivotTables/pivotTable9.xml" ContentType="application/vnd.openxmlformats-officedocument.spreadsheetml.pivotTable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4.xml" ContentType="application/vnd.openxmlformats-officedocument.spreadsheetml.pivotTable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6.xml" ContentType="application/vnd.openxmlformats-officedocument.spreadsheetml.pivotTable+xml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7.xml" ContentType="application/vnd.openxmlformats-officedocument.spreadsheetml.pivotTable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8.xml" ContentType="application/vnd.openxmlformats-officedocument.spreadsheetml.pivotTable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drawings/drawing2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0.xml" ContentType="application/vnd.openxmlformats-officedocument.spreadsheetml.pivotTable+xml"/>
  <Override PartName="/xl/drawings/drawing2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21.xml" ContentType="application/vnd.openxmlformats-officedocument.spreadsheetml.pivotTable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22.xml" ContentType="application/vnd.openxmlformats-officedocument.spreadsheetml.pivotTable+xml"/>
  <Override PartName="/xl/drawings/drawing26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3.xml" ContentType="application/vnd.openxmlformats-officedocument.spreadsheetml.pivotTable+xml"/>
  <Override PartName="/xl/drawings/drawing27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4.xml" ContentType="application/vnd.openxmlformats-officedocument.spreadsheetml.pivotTable+xml"/>
  <Override PartName="/xl/drawings/drawing2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D\Documents\GitHub\architect3\src\Energy_results\"/>
    </mc:Choice>
  </mc:AlternateContent>
  <xr:revisionPtr revIDLastSave="0" documentId="13_ncr:1_{D4B8B548-202B-44F0-AC1D-36FEDB66907C}" xr6:coauthVersionLast="41" xr6:coauthVersionMax="41" xr10:uidLastSave="{00000000-0000-0000-0000-000000000000}"/>
  <bookViews>
    <workbookView xWindow="-28920" yWindow="-120" windowWidth="29040" windowHeight="15840" tabRatio="845" activeTab="1" xr2:uid="{C4FF7328-D840-4E3E-8A85-0D544B1A6178}"/>
  </bookViews>
  <sheets>
    <sheet name="data" sheetId="1" r:id="rId1"/>
    <sheet name="data2" sheetId="26" r:id="rId2"/>
    <sheet name="cache cpi" sheetId="2" r:id="rId3"/>
    <sheet name="cache dcache" sheetId="3" r:id="rId4"/>
    <sheet name="cache icache" sheetId="4" r:id="rId5"/>
    <sheet name="cache l2" sheetId="5" r:id="rId6"/>
    <sheet name="l1d-l1i cpi" sheetId="6" r:id="rId7"/>
    <sheet name="l1d-l1i dcache" sheetId="7" r:id="rId8"/>
    <sheet name="l1d-l1i icache" sheetId="8" r:id="rId9"/>
    <sheet name="l1d-l1i l2" sheetId="9" r:id="rId10"/>
    <sheet name="l1d_assoc cpi" sheetId="10" r:id="rId11"/>
    <sheet name="l1d_assoc dcache" sheetId="11" r:id="rId12"/>
    <sheet name="l1d_assoc icache" sheetId="12" r:id="rId13"/>
    <sheet name="l1d_assoc l2" sheetId="13" r:id="rId14"/>
    <sheet name="l1i_assoc cpi" sheetId="14" r:id="rId15"/>
    <sheet name="l1i_assoc dcache" sheetId="15" r:id="rId16"/>
    <sheet name="l1i_assoc icache" sheetId="16" r:id="rId17"/>
    <sheet name="l1i_assoc l2" sheetId="17" r:id="rId18"/>
    <sheet name="l2d_assoc cpi" sheetId="18" r:id="rId19"/>
    <sheet name="l2d_assoc dcache" sheetId="19" r:id="rId20"/>
    <sheet name="l2d_assoc icache" sheetId="20" r:id="rId21"/>
    <sheet name="l2d_assoc l2" sheetId="21" r:id="rId22"/>
    <sheet name="l2_size cpi" sheetId="22" r:id="rId23"/>
    <sheet name="l2_size dcache" sheetId="23" r:id="rId24"/>
    <sheet name="l2_size icache" sheetId="24" r:id="rId25"/>
    <sheet name="l2_size l2" sheetId="25" r:id="rId26"/>
  </sheet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6" l="1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104" i="26"/>
  <c r="P105" i="26"/>
  <c r="P106" i="26"/>
  <c r="P107" i="26"/>
  <c r="P108" i="26"/>
  <c r="P109" i="26"/>
  <c r="P110" i="26"/>
  <c r="P111" i="26"/>
  <c r="P112" i="26"/>
  <c r="P113" i="26"/>
  <c r="P114" i="26"/>
  <c r="P115" i="26"/>
  <c r="P116" i="26"/>
  <c r="P117" i="26"/>
  <c r="P118" i="26"/>
  <c r="P119" i="26"/>
  <c r="P120" i="26"/>
  <c r="P121" i="26"/>
  <c r="P122" i="26"/>
  <c r="P123" i="26"/>
  <c r="P124" i="26"/>
  <c r="P125" i="26"/>
  <c r="P126" i="26"/>
  <c r="P127" i="26"/>
  <c r="P128" i="26"/>
  <c r="P129" i="26"/>
  <c r="P130" i="26"/>
  <c r="P131" i="26"/>
  <c r="P132" i="26"/>
  <c r="P133" i="26"/>
  <c r="P134" i="26"/>
  <c r="P135" i="26"/>
  <c r="P136" i="26"/>
  <c r="P137" i="26"/>
  <c r="P138" i="26"/>
  <c r="P139" i="26"/>
  <c r="P140" i="26"/>
  <c r="P141" i="26"/>
  <c r="P142" i="26"/>
  <c r="P143" i="26"/>
  <c r="P144" i="26"/>
  <c r="P145" i="26"/>
  <c r="P146" i="26"/>
  <c r="P147" i="26"/>
  <c r="P148" i="26"/>
  <c r="P149" i="26"/>
  <c r="P150" i="26"/>
  <c r="P151" i="26"/>
  <c r="P152" i="26"/>
  <c r="P153" i="26"/>
  <c r="P154" i="26"/>
  <c r="P155" i="26"/>
  <c r="P156" i="26"/>
  <c r="P157" i="26"/>
  <c r="P158" i="26"/>
  <c r="P159" i="26"/>
  <c r="P160" i="26"/>
  <c r="P161" i="26"/>
  <c r="P162" i="26"/>
  <c r="P163" i="26"/>
  <c r="P164" i="26"/>
  <c r="P165" i="26"/>
  <c r="P166" i="26"/>
  <c r="P167" i="26"/>
  <c r="P168" i="26"/>
  <c r="P169" i="26"/>
  <c r="P170" i="26"/>
  <c r="P171" i="26"/>
  <c r="P2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2" i="26"/>
  <c r="Q3" i="1" l="1"/>
  <c r="Q4" i="1"/>
  <c r="Q5" i="1"/>
  <c r="Q6" i="1"/>
  <c r="Q7" i="1"/>
  <c r="Q8" i="1"/>
  <c r="R8" i="1" s="1"/>
  <c r="Q9" i="1"/>
  <c r="R9" i="1" s="1"/>
  <c r="Q10" i="1"/>
  <c r="Q11" i="1"/>
  <c r="Q12" i="1"/>
  <c r="Q13" i="1"/>
  <c r="Q14" i="1"/>
  <c r="Q15" i="1"/>
  <c r="Q16" i="1"/>
  <c r="R16" i="1" s="1"/>
  <c r="Q17" i="1"/>
  <c r="R17" i="1" s="1"/>
  <c r="Q18" i="1"/>
  <c r="Q19" i="1"/>
  <c r="Q20" i="1"/>
  <c r="Q21" i="1"/>
  <c r="Q22" i="1"/>
  <c r="Q23" i="1"/>
  <c r="Q24" i="1"/>
  <c r="R24" i="1" s="1"/>
  <c r="Q25" i="1"/>
  <c r="R25" i="1" s="1"/>
  <c r="Q26" i="1"/>
  <c r="Q27" i="1"/>
  <c r="Q28" i="1"/>
  <c r="Q29" i="1"/>
  <c r="Q30" i="1"/>
  <c r="Q31" i="1"/>
  <c r="Q32" i="1"/>
  <c r="R32" i="1" s="1"/>
  <c r="Q33" i="1"/>
  <c r="R33" i="1" s="1"/>
  <c r="Q34" i="1"/>
  <c r="Q35" i="1"/>
  <c r="Q36" i="1"/>
  <c r="Q37" i="1"/>
  <c r="Q38" i="1"/>
  <c r="Q39" i="1"/>
  <c r="Q40" i="1"/>
  <c r="R40" i="1" s="1"/>
  <c r="Q41" i="1"/>
  <c r="R41" i="1" s="1"/>
  <c r="Q42" i="1"/>
  <c r="Q43" i="1"/>
  <c r="Q44" i="1"/>
  <c r="Q45" i="1"/>
  <c r="Q46" i="1"/>
  <c r="Q47" i="1"/>
  <c r="Q48" i="1"/>
  <c r="R48" i="1" s="1"/>
  <c r="Q49" i="1"/>
  <c r="R49" i="1" s="1"/>
  <c r="Q50" i="1"/>
  <c r="Q51" i="1"/>
  <c r="Q52" i="1"/>
  <c r="Q53" i="1"/>
  <c r="Q54" i="1"/>
  <c r="Q55" i="1"/>
  <c r="Q56" i="1"/>
  <c r="R56" i="1" s="1"/>
  <c r="Q57" i="1"/>
  <c r="R57" i="1" s="1"/>
  <c r="Q58" i="1"/>
  <c r="Q59" i="1"/>
  <c r="Q60" i="1"/>
  <c r="Q61" i="1"/>
  <c r="Q62" i="1"/>
  <c r="Q63" i="1"/>
  <c r="Q64" i="1"/>
  <c r="R64" i="1" s="1"/>
  <c r="Q65" i="1"/>
  <c r="R65" i="1" s="1"/>
  <c r="Q66" i="1"/>
  <c r="Q67" i="1"/>
  <c r="Q68" i="1"/>
  <c r="Q69" i="1"/>
  <c r="Q70" i="1"/>
  <c r="Q71" i="1"/>
  <c r="Q72" i="1"/>
  <c r="R72" i="1" s="1"/>
  <c r="Q73" i="1"/>
  <c r="R73" i="1" s="1"/>
  <c r="Q74" i="1"/>
  <c r="Q75" i="1"/>
  <c r="Q76" i="1"/>
  <c r="Q77" i="1"/>
  <c r="Q78" i="1"/>
  <c r="Q79" i="1"/>
  <c r="Q80" i="1"/>
  <c r="R80" i="1" s="1"/>
  <c r="Q81" i="1"/>
  <c r="R81" i="1" s="1"/>
  <c r="Q82" i="1"/>
  <c r="Q83" i="1"/>
  <c r="Q84" i="1"/>
  <c r="Q85" i="1"/>
  <c r="Q86" i="1"/>
  <c r="Q87" i="1"/>
  <c r="Q88" i="1"/>
  <c r="R88" i="1" s="1"/>
  <c r="Q89" i="1"/>
  <c r="R89" i="1" s="1"/>
  <c r="Q90" i="1"/>
  <c r="Q91" i="1"/>
  <c r="Q92" i="1"/>
  <c r="Q93" i="1"/>
  <c r="Q94" i="1"/>
  <c r="Q95" i="1"/>
  <c r="Q96" i="1"/>
  <c r="R96" i="1" s="1"/>
  <c r="Q97" i="1"/>
  <c r="R97" i="1" s="1"/>
  <c r="Q98" i="1"/>
  <c r="Q99" i="1"/>
  <c r="Q100" i="1"/>
  <c r="Q101" i="1"/>
  <c r="Q102" i="1"/>
  <c r="Q103" i="1"/>
  <c r="Q104" i="1"/>
  <c r="R104" i="1" s="1"/>
  <c r="Q105" i="1"/>
  <c r="R105" i="1" s="1"/>
  <c r="Q106" i="1"/>
  <c r="Q107" i="1"/>
  <c r="Q108" i="1"/>
  <c r="Q109" i="1"/>
  <c r="Q110" i="1"/>
  <c r="Q111" i="1"/>
  <c r="Q112" i="1"/>
  <c r="R112" i="1" s="1"/>
  <c r="Q113" i="1"/>
  <c r="R113" i="1" s="1"/>
  <c r="Q114" i="1"/>
  <c r="Q115" i="1"/>
  <c r="Q116" i="1"/>
  <c r="Q117" i="1"/>
  <c r="R117" i="1" s="1"/>
  <c r="Q118" i="1"/>
  <c r="Q119" i="1"/>
  <c r="Q120" i="1"/>
  <c r="R120" i="1" s="1"/>
  <c r="Q121" i="1"/>
  <c r="R121" i="1" s="1"/>
  <c r="Q122" i="1"/>
  <c r="Q123" i="1"/>
  <c r="Q124" i="1"/>
  <c r="Q125" i="1"/>
  <c r="Q126" i="1"/>
  <c r="Q127" i="1"/>
  <c r="Q128" i="1"/>
  <c r="R128" i="1" s="1"/>
  <c r="Q129" i="1"/>
  <c r="R129" i="1" s="1"/>
  <c r="Q130" i="1"/>
  <c r="Q131" i="1"/>
  <c r="Q132" i="1"/>
  <c r="Q133" i="1"/>
  <c r="R133" i="1" s="1"/>
  <c r="Q134" i="1"/>
  <c r="Q135" i="1"/>
  <c r="Q136" i="1"/>
  <c r="R136" i="1" s="1"/>
  <c r="Q137" i="1"/>
  <c r="R137" i="1" s="1"/>
  <c r="Q138" i="1"/>
  <c r="Q139" i="1"/>
  <c r="Q140" i="1"/>
  <c r="Q141" i="1"/>
  <c r="R141" i="1" s="1"/>
  <c r="Q142" i="1"/>
  <c r="Q143" i="1"/>
  <c r="Q144" i="1"/>
  <c r="R144" i="1" s="1"/>
  <c r="Q145" i="1"/>
  <c r="R145" i="1" s="1"/>
  <c r="Q146" i="1"/>
  <c r="Q147" i="1"/>
  <c r="Q148" i="1"/>
  <c r="Q149" i="1"/>
  <c r="R149" i="1" s="1"/>
  <c r="Q150" i="1"/>
  <c r="Q151" i="1"/>
  <c r="Q152" i="1"/>
  <c r="R152" i="1" s="1"/>
  <c r="Q153" i="1"/>
  <c r="R153" i="1" s="1"/>
  <c r="Q154" i="1"/>
  <c r="Q155" i="1"/>
  <c r="Q156" i="1"/>
  <c r="Q157" i="1"/>
  <c r="R157" i="1" s="1"/>
  <c r="Q158" i="1"/>
  <c r="Q159" i="1"/>
  <c r="Q160" i="1"/>
  <c r="R160" i="1" s="1"/>
  <c r="Q161" i="1"/>
  <c r="R161" i="1" s="1"/>
  <c r="Q162" i="1"/>
  <c r="Q163" i="1"/>
  <c r="Q164" i="1"/>
  <c r="Q165" i="1"/>
  <c r="R165" i="1" s="1"/>
  <c r="Q166" i="1"/>
  <c r="Q167" i="1"/>
  <c r="Q168" i="1"/>
  <c r="R168" i="1" s="1"/>
  <c r="Q169" i="1"/>
  <c r="R169" i="1" s="1"/>
  <c r="Q170" i="1"/>
  <c r="Q171" i="1"/>
  <c r="Q2" i="1"/>
  <c r="R2" i="1" s="1"/>
  <c r="R3" i="1"/>
  <c r="R4" i="1"/>
  <c r="R5" i="1"/>
  <c r="R6" i="1"/>
  <c r="R7" i="1"/>
  <c r="R10" i="1"/>
  <c r="R11" i="1"/>
  <c r="R12" i="1"/>
  <c r="R13" i="1"/>
  <c r="R14" i="1"/>
  <c r="R15" i="1"/>
  <c r="R18" i="1"/>
  <c r="R19" i="1"/>
  <c r="R20" i="1"/>
  <c r="R21" i="1"/>
  <c r="R22" i="1"/>
  <c r="R23" i="1"/>
  <c r="R26" i="1"/>
  <c r="R27" i="1"/>
  <c r="R28" i="1"/>
  <c r="R29" i="1"/>
  <c r="R30" i="1"/>
  <c r="R31" i="1"/>
  <c r="R34" i="1"/>
  <c r="R35" i="1"/>
  <c r="R36" i="1"/>
  <c r="R37" i="1"/>
  <c r="R38" i="1"/>
  <c r="R39" i="1"/>
  <c r="R42" i="1"/>
  <c r="R43" i="1"/>
  <c r="R44" i="1"/>
  <c r="R45" i="1"/>
  <c r="R46" i="1"/>
  <c r="R47" i="1"/>
  <c r="R50" i="1"/>
  <c r="R51" i="1"/>
  <c r="R52" i="1"/>
  <c r="R53" i="1"/>
  <c r="R54" i="1"/>
  <c r="R55" i="1"/>
  <c r="R58" i="1"/>
  <c r="R59" i="1"/>
  <c r="R60" i="1"/>
  <c r="R61" i="1"/>
  <c r="R62" i="1"/>
  <c r="R63" i="1"/>
  <c r="R66" i="1"/>
  <c r="R67" i="1"/>
  <c r="R68" i="1"/>
  <c r="R69" i="1"/>
  <c r="R70" i="1"/>
  <c r="R71" i="1"/>
  <c r="R74" i="1"/>
  <c r="R75" i="1"/>
  <c r="R76" i="1"/>
  <c r="R77" i="1"/>
  <c r="R78" i="1"/>
  <c r="R79" i="1"/>
  <c r="R82" i="1"/>
  <c r="R83" i="1"/>
  <c r="R84" i="1"/>
  <c r="R85" i="1"/>
  <c r="R86" i="1"/>
  <c r="R87" i="1"/>
  <c r="R90" i="1"/>
  <c r="R91" i="1"/>
  <c r="R92" i="1"/>
  <c r="R93" i="1"/>
  <c r="R94" i="1"/>
  <c r="R95" i="1"/>
  <c r="R98" i="1"/>
  <c r="R99" i="1"/>
  <c r="R100" i="1"/>
  <c r="R101" i="1"/>
  <c r="R102" i="1"/>
  <c r="R103" i="1"/>
  <c r="R106" i="1"/>
  <c r="R107" i="1"/>
  <c r="R108" i="1"/>
  <c r="R109" i="1"/>
  <c r="R110" i="1"/>
  <c r="R111" i="1"/>
  <c r="R114" i="1"/>
  <c r="R115" i="1"/>
  <c r="R116" i="1"/>
  <c r="R118" i="1"/>
  <c r="R119" i="1"/>
  <c r="R122" i="1"/>
  <c r="R123" i="1"/>
  <c r="R124" i="1"/>
  <c r="R125" i="1"/>
  <c r="R126" i="1"/>
  <c r="R127" i="1"/>
  <c r="R130" i="1"/>
  <c r="R131" i="1"/>
  <c r="R132" i="1"/>
  <c r="R134" i="1"/>
  <c r="R135" i="1"/>
  <c r="R138" i="1"/>
  <c r="R139" i="1"/>
  <c r="R140" i="1"/>
  <c r="R142" i="1"/>
  <c r="R143" i="1"/>
  <c r="R146" i="1"/>
  <c r="R147" i="1"/>
  <c r="R148" i="1"/>
  <c r="R150" i="1"/>
  <c r="R151" i="1"/>
  <c r="R154" i="1"/>
  <c r="R155" i="1"/>
  <c r="R156" i="1"/>
  <c r="R158" i="1"/>
  <c r="R159" i="1"/>
  <c r="R162" i="1"/>
  <c r="R163" i="1"/>
  <c r="R164" i="1"/>
  <c r="R166" i="1"/>
  <c r="R167" i="1"/>
  <c r="R170" i="1"/>
  <c r="R171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2" i="1"/>
</calcChain>
</file>

<file path=xl/sharedStrings.xml><?xml version="1.0" encoding="utf-8"?>
<sst xmlns="http://schemas.openxmlformats.org/spreadsheetml/2006/main" count="1489" uniqueCount="248">
  <si>
    <t>Benchmarks</t>
  </si>
  <si>
    <t>system.cpu.cpi</t>
  </si>
  <si>
    <t>system.cpu.dcache.overall_miss_rate::total</t>
  </si>
  <si>
    <t>system.cpu.icache.overall_miss_rate::total</t>
  </si>
  <si>
    <t>system.l2.overall_miss_rate::total</t>
  </si>
  <si>
    <t>./specbzip/cacheline.128</t>
  </si>
  <si>
    <t>./specbzip/cacheline.32</t>
  </si>
  <si>
    <t>./specbzip/cacheline.64</t>
  </si>
  <si>
    <t>./specbzip/cpu_clock.1GHz</t>
  </si>
  <si>
    <t>./specbzip/l1d.128kB_l1i.128kB</t>
  </si>
  <si>
    <t>./specbzip/l1d.128kB_l1i.16kB</t>
  </si>
  <si>
    <t>./specbzip/l1d.128kB_l1i.32kB</t>
  </si>
  <si>
    <t>./specbzip/l1d.128kB_l1i.64kB</t>
  </si>
  <si>
    <t>./specbzip/l1d.16kB_l1i.128kB</t>
  </si>
  <si>
    <t>./specbzip/l1d.16kB_l1i.16kB</t>
  </si>
  <si>
    <t>./specbzip/l1d.16kB_l1i.32kB</t>
  </si>
  <si>
    <t>./specbzip/l1d.16kB_l1i.64kB</t>
  </si>
  <si>
    <t>./specbzip/l1d.32kB_l1i.128kB</t>
  </si>
  <si>
    <t>./specbzip/l1d.32kB_l1i.16kB</t>
  </si>
  <si>
    <t>./specbzip/l1d.32kB_l1i.32kB</t>
  </si>
  <si>
    <t>./specbzip/l1d.32kB_l1i.64kB</t>
  </si>
  <si>
    <t>./specbzip/l1d.64kB_l1i.128kB</t>
  </si>
  <si>
    <t>./specbzip/l1d.64kB_l1i.16kB</t>
  </si>
  <si>
    <t>./specbzip/l1d.64kB_l1i.32kB</t>
  </si>
  <si>
    <t>./specbzip/l1d.64kB_l1i.64kB</t>
  </si>
  <si>
    <t>./specbzip/l1d_assoc.1</t>
  </si>
  <si>
    <t>./specbzip/l1d_assoc.2</t>
  </si>
  <si>
    <t>./specbzip/l1d_assoc.4</t>
  </si>
  <si>
    <t>./specbzip/l1i_assoc.1</t>
  </si>
  <si>
    <t>./specbzip/l1i_assoc.2</t>
  </si>
  <si>
    <t>./specbzip/l1i_assoc.4</t>
  </si>
  <si>
    <t>./specbzip/l2d_assoc.1</t>
  </si>
  <si>
    <t>./specbzip/l2d_assoc.2</t>
  </si>
  <si>
    <t>./specbzip/l2d_assoc.4</t>
  </si>
  <si>
    <t>./specbzip/l2_size.1MB</t>
  </si>
  <si>
    <t>./specbzip/l2_size.256kB</t>
  </si>
  <si>
    <t>./specbzip/l2_size.2MB</t>
  </si>
  <si>
    <t>./specbzip/l2_size.4MB</t>
  </si>
  <si>
    <t>./specbzip/l2_size.512kB</t>
  </si>
  <si>
    <t>./spechmmer/cacheline.128</t>
  </si>
  <si>
    <t>./spechmmer/cacheline.32</t>
  </si>
  <si>
    <t>./spechmmer/cacheline.64</t>
  </si>
  <si>
    <t>./spechmmer/cpu_clock.1GHz</t>
  </si>
  <si>
    <t>./spechmmer/l1d.128kB_l1i.128kB</t>
  </si>
  <si>
    <t>./spechmmer/l1d.128kB_l1i.16kB</t>
  </si>
  <si>
    <t>./spechmmer/l1d.128kB_l1i.32kB</t>
  </si>
  <si>
    <t>./spechmmer/l1d.128kB_l1i.64kB</t>
  </si>
  <si>
    <t>./spechmmer/l1d.16kB_l1i.128kB</t>
  </si>
  <si>
    <t>./spechmmer/l1d.16kB_l1i.16kB</t>
  </si>
  <si>
    <t>./spechmmer/l1d.16kB_l1i.32kB</t>
  </si>
  <si>
    <t>./spechmmer/l1d.16kB_l1i.64kB</t>
  </si>
  <si>
    <t>./spechmmer/l1d.32kB_l1i.128kB</t>
  </si>
  <si>
    <t>./spechmmer/l1d.32kB_l1i.16kB</t>
  </si>
  <si>
    <t>./spechmmer/l1d.32kB_l1i.32kB</t>
  </si>
  <si>
    <t>./spechmmer/l1d.32kB_l1i.64kB</t>
  </si>
  <si>
    <t>./spechmmer/l1d.64kB_l1i.128kB</t>
  </si>
  <si>
    <t>./spechmmer/l1d.64kB_l1i.16kB</t>
  </si>
  <si>
    <t>./spechmmer/l1d.64kB_l1i.32kB</t>
  </si>
  <si>
    <t>./spechmmer/l1d.64kB_l1i.64kB</t>
  </si>
  <si>
    <t>./spechmmer/l1d_assoc.1</t>
  </si>
  <si>
    <t>./spechmmer/l1d_assoc.2</t>
  </si>
  <si>
    <t>./spechmmer/l1d_assoc.4</t>
  </si>
  <si>
    <t>./spechmmer/l1i_assoc.1</t>
  </si>
  <si>
    <t>./spechmmer/l1i_assoc.2</t>
  </si>
  <si>
    <t>./spechmmer/l1i_assoc.4</t>
  </si>
  <si>
    <t>./spechmmer/l2d_assoc.1</t>
  </si>
  <si>
    <t>./spechmmer/l2d_assoc.2</t>
  </si>
  <si>
    <t>./spechmmer/l2d_assoc.4</t>
  </si>
  <si>
    <t>./spechmmer/l2_size.1MB</t>
  </si>
  <si>
    <t>./spechmmer/l2_size.256kB</t>
  </si>
  <si>
    <t>./spechmmer/l2_size.2MB</t>
  </si>
  <si>
    <t>./spechmmer/l2_size.4MB</t>
  </si>
  <si>
    <t>./spechmmer/l2_size.512kB</t>
  </si>
  <si>
    <t>./speclibm/cacheline.128</t>
  </si>
  <si>
    <t>./speclibm/cacheline.32</t>
  </si>
  <si>
    <t>./speclibm/cacheline.64</t>
  </si>
  <si>
    <t>./speclibm/cpu_clock.1GHz</t>
  </si>
  <si>
    <t>./speclibm/l1d.128kB_l1i.128kB</t>
  </si>
  <si>
    <t>./speclibm/l1d.128kB_l1i.16kB</t>
  </si>
  <si>
    <t>./speclibm/l1d.128kB_l1i.32kB</t>
  </si>
  <si>
    <t>./speclibm/l1d.128kB_l1i.64kB</t>
  </si>
  <si>
    <t>./speclibm/l1d.16kB_l1i.128kB</t>
  </si>
  <si>
    <t>./speclibm/l1d.16kB_l1i.16kB</t>
  </si>
  <si>
    <t>./speclibm/l1d.16kB_l1i.32kB</t>
  </si>
  <si>
    <t>./speclibm/l1d.16kB_l1i.64kB</t>
  </si>
  <si>
    <t>./speclibm/l1d.32kB_l1i.128kB</t>
  </si>
  <si>
    <t>./speclibm/l1d.32kB_l1i.16kB</t>
  </si>
  <si>
    <t>./speclibm/l1d.32kB_l1i.32kB</t>
  </si>
  <si>
    <t>./speclibm/l1d.32kB_l1i.64kB</t>
  </si>
  <si>
    <t>./speclibm/l1d.64kB_l1i.128kB</t>
  </si>
  <si>
    <t>./speclibm/l1d.64kB_l1i.16kB</t>
  </si>
  <si>
    <t>./speclibm/l1d.64kB_l1i.32kB</t>
  </si>
  <si>
    <t>./speclibm/l1d.64kB_l1i.64kB</t>
  </si>
  <si>
    <t>./speclibm/l1d_assoc.1</t>
  </si>
  <si>
    <t>./speclibm/l1d_assoc.2</t>
  </si>
  <si>
    <t>./speclibm/l1d_assoc.4</t>
  </si>
  <si>
    <t>./speclibm/l1i_assoc.1</t>
  </si>
  <si>
    <t>./speclibm/l1i_assoc.2</t>
  </si>
  <si>
    <t>./speclibm/l1i_assoc.4</t>
  </si>
  <si>
    <t>./speclibm/l2d_assoc.1</t>
  </si>
  <si>
    <t>./speclibm/l2d_assoc.2</t>
  </si>
  <si>
    <t>./speclibm/l2d_assoc.4</t>
  </si>
  <si>
    <t>./speclibm/l2_size.1MB</t>
  </si>
  <si>
    <t>./speclibm/l2_size.256kB</t>
  </si>
  <si>
    <t>./speclibm/l2_size.2MB</t>
  </si>
  <si>
    <t>./speclibm/l2_size.4MB</t>
  </si>
  <si>
    <t>./speclibm/l2_size.512kB</t>
  </si>
  <si>
    <t>./specmcf/cacheline.128</t>
  </si>
  <si>
    <t>./specmcf/cacheline.32</t>
  </si>
  <si>
    <t>./specmcf/cacheline.64</t>
  </si>
  <si>
    <t>./specmcf/cpu_clock.1GHz</t>
  </si>
  <si>
    <t>./specmcf/l1d.128kB_l1i.128kB</t>
  </si>
  <si>
    <t>./specmcf/l1d.128kB_l1i.16kB</t>
  </si>
  <si>
    <t>./specmcf/l1d.128kB_l1i.32kB</t>
  </si>
  <si>
    <t>./specmcf/l1d.128kB_l1i.64kB</t>
  </si>
  <si>
    <t>./specmcf/l1d.16kB_l1i.128kB</t>
  </si>
  <si>
    <t>./specmcf/l1d.16kB_l1i.16kB</t>
  </si>
  <si>
    <t>./specmcf/l1d.16kB_l1i.32kB</t>
  </si>
  <si>
    <t>./specmcf/l1d.16kB_l1i.64kB</t>
  </si>
  <si>
    <t>./specmcf/l1d.32kB_l1i.128kB</t>
  </si>
  <si>
    <t>./specmcf/l1d.32kB_l1i.16kB</t>
  </si>
  <si>
    <t>./specmcf/l1d.32kB_l1i.32kB</t>
  </si>
  <si>
    <t>./specmcf/l1d.32kB_l1i.64kB</t>
  </si>
  <si>
    <t>./specmcf/l1d.64kB_l1i.128kB</t>
  </si>
  <si>
    <t>./specmcf/l1d.64kB_l1i.16kB</t>
  </si>
  <si>
    <t>./specmcf/l1d.64kB_l1i.32kB</t>
  </si>
  <si>
    <t>./specmcf/l1d.64kB_l1i.64kB</t>
  </si>
  <si>
    <t>./specmcf/l1d_assoc.1</t>
  </si>
  <si>
    <t>./specmcf/l1d_assoc.2</t>
  </si>
  <si>
    <t>./specmcf/l1d_assoc.4</t>
  </si>
  <si>
    <t>./specmcf/l1i_assoc.1</t>
  </si>
  <si>
    <t>./specmcf/l1i_assoc.2</t>
  </si>
  <si>
    <t>./specmcf/l1i_assoc.4</t>
  </si>
  <si>
    <t>./specmcf/l2d_assoc.1</t>
  </si>
  <si>
    <t>./specmcf/l2d_assoc.2</t>
  </si>
  <si>
    <t>./specmcf/l2d_assoc.4</t>
  </si>
  <si>
    <t>./specmcf/l2_size.1MB</t>
  </si>
  <si>
    <t>./specmcf/l2_size.256kB</t>
  </si>
  <si>
    <t>./specmcf/l2_size.2MB</t>
  </si>
  <si>
    <t>./specmcf/l2_size.4MB</t>
  </si>
  <si>
    <t>./specmcf/l2_size.512kB</t>
  </si>
  <si>
    <t>./specsjeng/cacheline.128</t>
  </si>
  <si>
    <t>./specsjeng/cacheline.32</t>
  </si>
  <si>
    <t>./specsjeng/cacheline.64</t>
  </si>
  <si>
    <t>./specsjeng/cpu_clock.1GHz</t>
  </si>
  <si>
    <t>./specsjeng/l1d.128kB_l1i.128kB</t>
  </si>
  <si>
    <t>./specsjeng/l1d.128kB_l1i.16kB</t>
  </si>
  <si>
    <t>./specsjeng/l1d.128kB_l1i.32kB</t>
  </si>
  <si>
    <t>./specsjeng/l1d.128kB_l1i.64kB</t>
  </si>
  <si>
    <t>./specsjeng/l1d.16kB_l1i.128kB</t>
  </si>
  <si>
    <t>./specsjeng/l1d.16kB_l1i.16kB</t>
  </si>
  <si>
    <t>./specsjeng/l1d.16kB_l1i.32kB</t>
  </si>
  <si>
    <t>./specsjeng/l1d.16kB_l1i.64kB</t>
  </si>
  <si>
    <t>./specsjeng/l1d.32kB_l1i.128kB</t>
  </si>
  <si>
    <t>./specsjeng/l1d.32kB_l1i.16kB</t>
  </si>
  <si>
    <t>./specsjeng/l1d.32kB_l1i.32kB</t>
  </si>
  <si>
    <t>./specsjeng/l1d.32kB_l1i.64kB</t>
  </si>
  <si>
    <t>./specsjeng/l1d.64kB_l1i.128kB</t>
  </si>
  <si>
    <t>./specsjeng/l1d.64kB_l1i.16kB</t>
  </si>
  <si>
    <t>./specsjeng/l1d.64kB_l1i.32kB</t>
  </si>
  <si>
    <t>./specsjeng/l1d.64kB_l1i.64kB</t>
  </si>
  <si>
    <t>./specsjeng/l1d_assoc.1</t>
  </si>
  <si>
    <t>./specsjeng/l1d_assoc.2</t>
  </si>
  <si>
    <t>./specsjeng/l1d_assoc.4</t>
  </si>
  <si>
    <t>./specsjeng/l1i_assoc.1</t>
  </si>
  <si>
    <t>./specsjeng/l1i_assoc.2</t>
  </si>
  <si>
    <t>./specsjeng/l1i_assoc.4</t>
  </si>
  <si>
    <t>./specsjeng/l2d_assoc.1</t>
  </si>
  <si>
    <t>./specsjeng/l2d_assoc.2</t>
  </si>
  <si>
    <t>./specsjeng/l2d_assoc.4</t>
  </si>
  <si>
    <t>./specsjeng/l2_size.1MB</t>
  </si>
  <si>
    <t>./specsjeng/l2_size.256kB</t>
  </si>
  <si>
    <t>./specsjeng/l2_size.2MB</t>
  </si>
  <si>
    <t>./specsjeng/l2_size.4MB</t>
  </si>
  <si>
    <t>./specsjeng/l2_size.512kB</t>
  </si>
  <si>
    <t>Benchmark</t>
  </si>
  <si>
    <t>Scenario</t>
  </si>
  <si>
    <t>Cache line</t>
  </si>
  <si>
    <t>Frequency [GHz]</t>
  </si>
  <si>
    <t>L1 Data Size [kB]</t>
  </si>
  <si>
    <t>L1 Instr Size [kB]</t>
  </si>
  <si>
    <t>L1 Data Assoc</t>
  </si>
  <si>
    <t>L1 Instr Assoc</t>
  </si>
  <si>
    <t>L2 Data Assoc</t>
  </si>
  <si>
    <t>L2 Size</t>
  </si>
  <si>
    <t>specbzip</t>
  </si>
  <si>
    <t>spechmmer</t>
  </si>
  <si>
    <t>speclibm</t>
  </si>
  <si>
    <t>specmcf</t>
  </si>
  <si>
    <t>specsjeng</t>
  </si>
  <si>
    <t>Cache Line</t>
  </si>
  <si>
    <t>L1D/L1I Size</t>
  </si>
  <si>
    <t>L1D Associativity</t>
  </si>
  <si>
    <t>L1I Associativity</t>
  </si>
  <si>
    <t>L2D Associativity</t>
  </si>
  <si>
    <t>CPU Frequency</t>
  </si>
  <si>
    <t>L2 Size [kB]</t>
  </si>
  <si>
    <t>Row Labels</t>
  </si>
  <si>
    <t>Grand Total</t>
  </si>
  <si>
    <t>Average of system.cpu.cpi</t>
  </si>
  <si>
    <t>Average of system.cpu.dcache.overall_miss_rate::total</t>
  </si>
  <si>
    <t>Average of system.cpu.icache.overall_miss_rate::total</t>
  </si>
  <si>
    <t>Average of system.l2.overall_miss_rate::total</t>
  </si>
  <si>
    <t>Column Labels</t>
  </si>
  <si>
    <t>([AMAT+CPI/Freq) [ns]</t>
  </si>
  <si>
    <t>COST</t>
  </si>
  <si>
    <t>COST*TIME</t>
  </si>
  <si>
    <t xml:space="preserve">l2_size.256kB </t>
  </si>
  <si>
    <t xml:space="preserve">l2d_assoc.4 </t>
  </si>
  <si>
    <t xml:space="preserve">l1i_assoc.2 </t>
  </si>
  <si>
    <t xml:space="preserve">l1d.64kB_l1i.128kB </t>
  </si>
  <si>
    <t xml:space="preserve">l1d.16kB_l1i.32kB </t>
  </si>
  <si>
    <t xml:space="preserve">cpu_clock.1GHz </t>
  </si>
  <si>
    <t xml:space="preserve">l1d.32kB_l1i.64kB </t>
  </si>
  <si>
    <t xml:space="preserve">l2d_assoc.1 </t>
  </si>
  <si>
    <t xml:space="preserve">l1i_assoc.1 </t>
  </si>
  <si>
    <t xml:space="preserve">l1d.32kB_l1i.32kB </t>
  </si>
  <si>
    <t xml:space="preserve">l1i_assoc.4 </t>
  </si>
  <si>
    <t xml:space="preserve">l1d.128kB_l1i.16kB </t>
  </si>
  <si>
    <t xml:space="preserve">l1d_assoc.2 </t>
  </si>
  <si>
    <t xml:space="preserve">l1d.128kB_l1i.128kB </t>
  </si>
  <si>
    <t xml:space="preserve">l2_size.2MB </t>
  </si>
  <si>
    <t xml:space="preserve">l1d_assoc.1 </t>
  </si>
  <si>
    <t xml:space="preserve">l1d.32kB_l1i.16kB </t>
  </si>
  <si>
    <t xml:space="preserve">l1d.64kB_l1i.32kB </t>
  </si>
  <si>
    <t xml:space="preserve">l1d.64kB_l1i.16kB </t>
  </si>
  <si>
    <t xml:space="preserve">l1d.32kB_l1i.128kB </t>
  </si>
  <si>
    <t xml:space="preserve">l2d_assoc.2 </t>
  </si>
  <si>
    <t xml:space="preserve">l1d_assoc.4 </t>
  </si>
  <si>
    <t xml:space="preserve">cacheline.128 </t>
  </si>
  <si>
    <t xml:space="preserve">l1d.16kB_l1i.16kB </t>
  </si>
  <si>
    <t xml:space="preserve">l2_size.512kB </t>
  </si>
  <si>
    <t xml:space="preserve">cacheline.64 </t>
  </si>
  <si>
    <t xml:space="preserve">l1d.128kB_l1i.32kB </t>
  </si>
  <si>
    <t xml:space="preserve">l1d.16kB_l1i.64kB </t>
  </si>
  <si>
    <t xml:space="preserve">cacheline.32 </t>
  </si>
  <si>
    <t xml:space="preserve">l1d.64kB_l1i.64kB </t>
  </si>
  <si>
    <t xml:space="preserve">l1d.128kB_l1i.64kB </t>
  </si>
  <si>
    <t xml:space="preserve">l2_size.1MB </t>
  </si>
  <si>
    <t xml:space="preserve">l1d.16kB_l1i.128kB </t>
  </si>
  <si>
    <t xml:space="preserve">l2_size.4MB </t>
  </si>
  <si>
    <t>Energy [mJ]</t>
  </si>
  <si>
    <t>Runtime [sec]</t>
  </si>
  <si>
    <t>Scenario name</t>
  </si>
  <si>
    <t>Total Leakage Power [W]</t>
  </si>
  <si>
    <t>Runtime Dynamic [W]</t>
  </si>
  <si>
    <t>Energy Efficiency</t>
  </si>
  <si>
    <t>Total 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</si>
</sst>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i/>
      <sz val="11"/>
      <color theme="0" tint="-0.499984740745262"/>
      <name val="Calibri"/>
      <family val="2"/>
      <charset val="16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0" xfId="0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/>
    <xf numFmtId="2" fontId="0" fillId="3" borderId="0" xfId="0" applyNumberFormat="1" applyFill="1" applyBorder="1"/>
    <xf numFmtId="2" fontId="0" fillId="3" borderId="7" xfId="0" applyNumberFormat="1" applyFill="1" applyBorder="1"/>
    <xf numFmtId="2" fontId="0" fillId="3" borderId="2" xfId="0" applyNumberFormat="1" applyFill="1" applyBorder="1"/>
    <xf numFmtId="164" fontId="0" fillId="3" borderId="0" xfId="0" applyNumberFormat="1" applyFill="1" applyBorder="1"/>
    <xf numFmtId="164" fontId="0" fillId="3" borderId="5" xfId="0" applyNumberFormat="1" applyFill="1" applyBorder="1"/>
    <xf numFmtId="164" fontId="0" fillId="3" borderId="7" xfId="0" applyNumberFormat="1" applyFill="1" applyBorder="1"/>
    <xf numFmtId="164" fontId="0" fillId="3" borderId="8" xfId="0" applyNumberFormat="1" applyFill="1" applyBorder="1"/>
    <xf numFmtId="164" fontId="0" fillId="3" borderId="3" xfId="0" applyNumberFormat="1" applyFill="1" applyBorder="1"/>
    <xf numFmtId="164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cpi!PivotTable1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cpi'!$A$4:$A$24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cpi'!$B$4:$B$24</c:f>
              <c:numCache>
                <c:formatCode>General</c:formatCode>
                <c:ptCount val="15"/>
                <c:pt idx="0">
                  <c:v>1.8363659999999999</c:v>
                </c:pt>
                <c:pt idx="1">
                  <c:v>1.727746</c:v>
                </c:pt>
                <c:pt idx="2">
                  <c:v>1.7309239999999999</c:v>
                </c:pt>
                <c:pt idx="3">
                  <c:v>6.2138</c:v>
                </c:pt>
                <c:pt idx="4">
                  <c:v>4.5237769999999999</c:v>
                </c:pt>
                <c:pt idx="5">
                  <c:v>3.7784900000000001</c:v>
                </c:pt>
                <c:pt idx="6">
                  <c:v>11.660412000000001</c:v>
                </c:pt>
                <c:pt idx="7">
                  <c:v>7.0422409999999998</c:v>
                </c:pt>
                <c:pt idx="8">
                  <c:v>4.9782080000000004</c:v>
                </c:pt>
                <c:pt idx="9">
                  <c:v>1.129462</c:v>
                </c:pt>
                <c:pt idx="10">
                  <c:v>1.1022460000000001</c:v>
                </c:pt>
                <c:pt idx="11">
                  <c:v>1.0883020000000001</c:v>
                </c:pt>
                <c:pt idx="12">
                  <c:v>1.2253179999999999</c:v>
                </c:pt>
                <c:pt idx="13">
                  <c:v>1.2323850000000001</c:v>
                </c:pt>
                <c:pt idx="14">
                  <c:v>1.243045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D-4903-8944-6BA714BD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dcache!PivotTable1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dcache'!$A$4:$A$24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dcache'!$B$4:$B$24</c:f>
              <c:numCache>
                <c:formatCode>General</c:formatCode>
                <c:ptCount val="15"/>
                <c:pt idx="0">
                  <c:v>2.3845999999999999E-2</c:v>
                </c:pt>
                <c:pt idx="1">
                  <c:v>2.1398E-2</c:v>
                </c:pt>
                <c:pt idx="2">
                  <c:v>2.1791000000000001E-2</c:v>
                </c:pt>
                <c:pt idx="3">
                  <c:v>7.7135999999999996E-2</c:v>
                </c:pt>
                <c:pt idx="4">
                  <c:v>5.4128999999999997E-2</c:v>
                </c:pt>
                <c:pt idx="5">
                  <c:v>3.8850000000000003E-2</c:v>
                </c:pt>
                <c:pt idx="6">
                  <c:v>0.243703</c:v>
                </c:pt>
                <c:pt idx="7">
                  <c:v>0.12191200000000001</c:v>
                </c:pt>
                <c:pt idx="8">
                  <c:v>6.1057E-2</c:v>
                </c:pt>
                <c:pt idx="9">
                  <c:v>4.2399999999999998E-3</c:v>
                </c:pt>
                <c:pt idx="10">
                  <c:v>3.2320000000000001E-3</c:v>
                </c:pt>
                <c:pt idx="11">
                  <c:v>2.8579999999999999E-3</c:v>
                </c:pt>
                <c:pt idx="12">
                  <c:v>6.5799999999999999E-3</c:v>
                </c:pt>
                <c:pt idx="13">
                  <c:v>5.777E-3</c:v>
                </c:pt>
                <c:pt idx="14">
                  <c:v>5.8240000000000002E-3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3-40AD-8E49-4B27655EE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icache!PivotTable1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icache'!$B$3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icache'!$A$4:$A$24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icache'!$B$4:$B$24</c:f>
              <c:numCache>
                <c:formatCode>General</c:formatCode>
                <c:ptCount val="15"/>
                <c:pt idx="0">
                  <c:v>9.0000000000000006E-5</c:v>
                </c:pt>
                <c:pt idx="1">
                  <c:v>7.6000000000000004E-5</c:v>
                </c:pt>
                <c:pt idx="2">
                  <c:v>6.0999999999999999E-5</c:v>
                </c:pt>
                <c:pt idx="3">
                  <c:v>0.10876</c:v>
                </c:pt>
                <c:pt idx="4">
                  <c:v>7.7973000000000001E-2</c:v>
                </c:pt>
                <c:pt idx="5">
                  <c:v>5.8011E-2</c:v>
                </c:pt>
                <c:pt idx="6">
                  <c:v>2.3E-5</c:v>
                </c:pt>
                <c:pt idx="7">
                  <c:v>2.0000000000000002E-5</c:v>
                </c:pt>
                <c:pt idx="8">
                  <c:v>1.4E-5</c:v>
                </c:pt>
                <c:pt idx="9">
                  <c:v>3.6999999999999998E-5</c:v>
                </c:pt>
                <c:pt idx="10">
                  <c:v>3.4E-5</c:v>
                </c:pt>
                <c:pt idx="11">
                  <c:v>3.4999999999999997E-5</c:v>
                </c:pt>
                <c:pt idx="12">
                  <c:v>1.76E-4</c:v>
                </c:pt>
                <c:pt idx="13">
                  <c:v>1.36E-4</c:v>
                </c:pt>
                <c:pt idx="14">
                  <c:v>1.18E-4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0F-40CB-9A5A-849249EA7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l2!PivotTable1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l2'!$A$4:$A$24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l2'!$B$4:$B$24</c:f>
              <c:numCache>
                <c:formatCode>General</c:formatCode>
                <c:ptCount val="15"/>
                <c:pt idx="0">
                  <c:v>0.39927699999999999</c:v>
                </c:pt>
                <c:pt idx="1">
                  <c:v>0.27181100000000002</c:v>
                </c:pt>
                <c:pt idx="2">
                  <c:v>0.196655</c:v>
                </c:pt>
                <c:pt idx="3">
                  <c:v>0.94686000000000003</c:v>
                </c:pt>
                <c:pt idx="4">
                  <c:v>0.89292199999999999</c:v>
                </c:pt>
                <c:pt idx="5">
                  <c:v>0.85604100000000005</c:v>
                </c:pt>
                <c:pt idx="6">
                  <c:v>0.99959699999999996</c:v>
                </c:pt>
                <c:pt idx="7">
                  <c:v>0.99863000000000002</c:v>
                </c:pt>
                <c:pt idx="8">
                  <c:v>0.99548099999999995</c:v>
                </c:pt>
                <c:pt idx="9">
                  <c:v>0.69636799999999999</c:v>
                </c:pt>
                <c:pt idx="10">
                  <c:v>0.54118900000000003</c:v>
                </c:pt>
                <c:pt idx="11">
                  <c:v>0.33643800000000001</c:v>
                </c:pt>
                <c:pt idx="12">
                  <c:v>3.9736E-2</c:v>
                </c:pt>
                <c:pt idx="13">
                  <c:v>2.4802999999999999E-2</c:v>
                </c:pt>
                <c:pt idx="14">
                  <c:v>1.3793E-2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5-4704-8D48-6E274C0C8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cpi!PivotTable1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cpi'!$B$4:$B$5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cpi'!$A$6:$A$31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cpi'!$B$6:$B$31</c:f>
              <c:numCache>
                <c:formatCode>General</c:formatCode>
                <c:ptCount val="20"/>
                <c:pt idx="0">
                  <c:v>1.7737810000000001</c:v>
                </c:pt>
                <c:pt idx="1">
                  <c:v>1.7736080000000001</c:v>
                </c:pt>
                <c:pt idx="2">
                  <c:v>1.7736149999999999</c:v>
                </c:pt>
                <c:pt idx="3">
                  <c:v>1.7735300000000001</c:v>
                </c:pt>
                <c:pt idx="4">
                  <c:v>4.645905</c:v>
                </c:pt>
                <c:pt idx="5">
                  <c:v>4.6223190000000001</c:v>
                </c:pt>
                <c:pt idx="6">
                  <c:v>4.585833</c:v>
                </c:pt>
                <c:pt idx="7">
                  <c:v>4.5840009999999998</c:v>
                </c:pt>
                <c:pt idx="8">
                  <c:v>7.043558</c:v>
                </c:pt>
                <c:pt idx="9">
                  <c:v>7.046748</c:v>
                </c:pt>
                <c:pt idx="10">
                  <c:v>7.0467339999999998</c:v>
                </c:pt>
                <c:pt idx="11">
                  <c:v>7.0434999999999999</c:v>
                </c:pt>
                <c:pt idx="12">
                  <c:v>1.4724429999999999</c:v>
                </c:pt>
                <c:pt idx="13">
                  <c:v>1.144496</c:v>
                </c:pt>
                <c:pt idx="14">
                  <c:v>1.118433</c:v>
                </c:pt>
                <c:pt idx="15">
                  <c:v>1.118355</c:v>
                </c:pt>
                <c:pt idx="16">
                  <c:v>1.2614399999999999</c:v>
                </c:pt>
                <c:pt idx="17">
                  <c:v>1.2598339999999999</c:v>
                </c:pt>
                <c:pt idx="18">
                  <c:v>1.259123</c:v>
                </c:pt>
                <c:pt idx="19">
                  <c:v>1.2590699999999999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15-41B1-B4B1-99197CB9CF1D}"/>
            </c:ext>
          </c:extLst>
        </c:ser>
        <c:ser>
          <c:idx val="1"/>
          <c:order val="1"/>
          <c:tx>
            <c:strRef>
              <c:f>'l1d-l1i cpi'!$C$4:$C$5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cpi'!$A$6:$A$31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cpi'!$C$6:$C$31</c:f>
              <c:numCache>
                <c:formatCode>General</c:formatCode>
                <c:ptCount val="20"/>
                <c:pt idx="0">
                  <c:v>1.72793</c:v>
                </c:pt>
                <c:pt idx="1">
                  <c:v>1.7277739999999999</c:v>
                </c:pt>
                <c:pt idx="2">
                  <c:v>1.727746</c:v>
                </c:pt>
                <c:pt idx="3">
                  <c:v>1.727746</c:v>
                </c:pt>
                <c:pt idx="4">
                  <c:v>4.633845</c:v>
                </c:pt>
                <c:pt idx="5">
                  <c:v>4.5672090000000001</c:v>
                </c:pt>
                <c:pt idx="6">
                  <c:v>4.5237769999999999</c:v>
                </c:pt>
                <c:pt idx="7">
                  <c:v>4.5163729999999997</c:v>
                </c:pt>
                <c:pt idx="8">
                  <c:v>7.0423010000000001</c:v>
                </c:pt>
                <c:pt idx="9">
                  <c:v>7.042268</c:v>
                </c:pt>
                <c:pt idx="10">
                  <c:v>7.0422409999999998</c:v>
                </c:pt>
                <c:pt idx="11">
                  <c:v>7.0422409999999998</c:v>
                </c:pt>
                <c:pt idx="12">
                  <c:v>1.4570860000000001</c:v>
                </c:pt>
                <c:pt idx="13">
                  <c:v>1.127802</c:v>
                </c:pt>
                <c:pt idx="14">
                  <c:v>1.1022460000000001</c:v>
                </c:pt>
                <c:pt idx="15">
                  <c:v>1.1023210000000001</c:v>
                </c:pt>
                <c:pt idx="16">
                  <c:v>1.234974</c:v>
                </c:pt>
                <c:pt idx="17">
                  <c:v>1.2333259999999999</c:v>
                </c:pt>
                <c:pt idx="18">
                  <c:v>1.2323850000000001</c:v>
                </c:pt>
                <c:pt idx="19">
                  <c:v>1.232337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15-41B1-B4B1-99197CB9CF1D}"/>
            </c:ext>
          </c:extLst>
        </c:ser>
        <c:ser>
          <c:idx val="2"/>
          <c:order val="2"/>
          <c:tx>
            <c:strRef>
              <c:f>'l1d-l1i cpi'!$D$4:$D$5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cpi'!$A$6:$A$31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cpi'!$D$6:$D$31</c:f>
              <c:numCache>
                <c:formatCode>General</c:formatCode>
                <c:ptCount val="20"/>
                <c:pt idx="0">
                  <c:v>1.693845</c:v>
                </c:pt>
                <c:pt idx="1">
                  <c:v>1.693587</c:v>
                </c:pt>
                <c:pt idx="2">
                  <c:v>1.693686</c:v>
                </c:pt>
                <c:pt idx="3">
                  <c:v>1.693686</c:v>
                </c:pt>
                <c:pt idx="4">
                  <c:v>4.5746890000000002</c:v>
                </c:pt>
                <c:pt idx="5">
                  <c:v>4.4837040000000004</c:v>
                </c:pt>
                <c:pt idx="6">
                  <c:v>4.4505759999999999</c:v>
                </c:pt>
                <c:pt idx="7">
                  <c:v>4.4505759999999999</c:v>
                </c:pt>
                <c:pt idx="8">
                  <c:v>7.0418070000000004</c:v>
                </c:pt>
                <c:pt idx="9">
                  <c:v>7.0417670000000001</c:v>
                </c:pt>
                <c:pt idx="10">
                  <c:v>7.0417759999999996</c:v>
                </c:pt>
                <c:pt idx="11">
                  <c:v>7.0417670000000001</c:v>
                </c:pt>
                <c:pt idx="12">
                  <c:v>1.4545809999999999</c:v>
                </c:pt>
                <c:pt idx="13">
                  <c:v>1.1242639999999999</c:v>
                </c:pt>
                <c:pt idx="14">
                  <c:v>1.099343</c:v>
                </c:pt>
                <c:pt idx="15">
                  <c:v>1.0994740000000001</c:v>
                </c:pt>
                <c:pt idx="16">
                  <c:v>1.2114720000000001</c:v>
                </c:pt>
                <c:pt idx="17">
                  <c:v>1.209716</c:v>
                </c:pt>
                <c:pt idx="18">
                  <c:v>1.2085399999999999</c:v>
                </c:pt>
                <c:pt idx="19">
                  <c:v>1.20848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15-41B1-B4B1-99197CB9CF1D}"/>
            </c:ext>
          </c:extLst>
        </c:ser>
        <c:ser>
          <c:idx val="3"/>
          <c:order val="3"/>
          <c:tx>
            <c:strRef>
              <c:f>'l1d-l1i cpi'!$E$4:$E$5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cpi'!$A$6:$A$31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cpi'!$E$6:$E$31</c:f>
              <c:numCache>
                <c:formatCode>General</c:formatCode>
                <c:ptCount val="20"/>
                <c:pt idx="0">
                  <c:v>1.657357</c:v>
                </c:pt>
                <c:pt idx="1">
                  <c:v>1.6571560000000001</c:v>
                </c:pt>
                <c:pt idx="2">
                  <c:v>1.6570780000000001</c:v>
                </c:pt>
                <c:pt idx="3">
                  <c:v>1.6570780000000001</c:v>
                </c:pt>
                <c:pt idx="4">
                  <c:v>4.5746890000000002</c:v>
                </c:pt>
                <c:pt idx="5">
                  <c:v>4.4837040000000004</c:v>
                </c:pt>
                <c:pt idx="6">
                  <c:v>4.4505759999999999</c:v>
                </c:pt>
                <c:pt idx="7">
                  <c:v>4.4505759999999999</c:v>
                </c:pt>
                <c:pt idx="8">
                  <c:v>7.0414880000000002</c:v>
                </c:pt>
                <c:pt idx="9">
                  <c:v>7.0415190000000001</c:v>
                </c:pt>
                <c:pt idx="10">
                  <c:v>7.0414810000000001</c:v>
                </c:pt>
                <c:pt idx="11">
                  <c:v>7.0414529999999997</c:v>
                </c:pt>
                <c:pt idx="12">
                  <c:v>1.4534739999999999</c:v>
                </c:pt>
                <c:pt idx="13">
                  <c:v>1.122811</c:v>
                </c:pt>
                <c:pt idx="14">
                  <c:v>1.097653</c:v>
                </c:pt>
                <c:pt idx="15">
                  <c:v>1.097575</c:v>
                </c:pt>
                <c:pt idx="16">
                  <c:v>1.1918550000000001</c:v>
                </c:pt>
                <c:pt idx="17">
                  <c:v>1.190126</c:v>
                </c:pt>
                <c:pt idx="18">
                  <c:v>1.188898</c:v>
                </c:pt>
                <c:pt idx="19">
                  <c:v>1.188863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15-41B1-B4B1-99197CB9C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08715610953481"/>
          <c:y val="0.23928260595073819"/>
          <c:w val="5.5421446781389418E-2"/>
          <c:h val="0.29235211089766139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dcache!PivotTable1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dcache'!$B$4:$B$5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dcache'!$A$6:$A$31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dcache'!$B$6:$B$31</c:f>
              <c:numCache>
                <c:formatCode>General</c:formatCode>
                <c:ptCount val="20"/>
                <c:pt idx="0">
                  <c:v>2.6152000000000002E-2</c:v>
                </c:pt>
                <c:pt idx="1">
                  <c:v>2.6154E-2</c:v>
                </c:pt>
                <c:pt idx="2">
                  <c:v>2.6152999999999999E-2</c:v>
                </c:pt>
                <c:pt idx="3">
                  <c:v>2.6154E-2</c:v>
                </c:pt>
                <c:pt idx="4">
                  <c:v>6.1364000000000002E-2</c:v>
                </c:pt>
                <c:pt idx="5">
                  <c:v>6.139E-2</c:v>
                </c:pt>
                <c:pt idx="6">
                  <c:v>6.1377000000000001E-2</c:v>
                </c:pt>
                <c:pt idx="7">
                  <c:v>6.1377000000000001E-2</c:v>
                </c:pt>
                <c:pt idx="8">
                  <c:v>0.12200999999999999</c:v>
                </c:pt>
                <c:pt idx="9">
                  <c:v>0.12200999999999999</c:v>
                </c:pt>
                <c:pt idx="10">
                  <c:v>0.12200999999999999</c:v>
                </c:pt>
                <c:pt idx="11">
                  <c:v>0.12200999999999999</c:v>
                </c:pt>
                <c:pt idx="12">
                  <c:v>6.6990000000000001E-3</c:v>
                </c:pt>
                <c:pt idx="13">
                  <c:v>7.8790000000000006E-3</c:v>
                </c:pt>
                <c:pt idx="14">
                  <c:v>7.8790000000000006E-3</c:v>
                </c:pt>
                <c:pt idx="15">
                  <c:v>7.8790000000000006E-3</c:v>
                </c:pt>
                <c:pt idx="16">
                  <c:v>8.3309999999999999E-3</c:v>
                </c:pt>
                <c:pt idx="17">
                  <c:v>8.3320000000000009E-3</c:v>
                </c:pt>
                <c:pt idx="18">
                  <c:v>8.3320000000000009E-3</c:v>
                </c:pt>
                <c:pt idx="19">
                  <c:v>8.3320000000000009E-3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9-4178-BE42-C99B91A86232}"/>
            </c:ext>
          </c:extLst>
        </c:ser>
        <c:ser>
          <c:idx val="1"/>
          <c:order val="1"/>
          <c:tx>
            <c:strRef>
              <c:f>'l1d-l1i dcache'!$C$4:$C$5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dcache'!$A$6:$A$31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dcache'!$C$6:$C$31</c:f>
              <c:numCache>
                <c:formatCode>General</c:formatCode>
                <c:ptCount val="20"/>
                <c:pt idx="0">
                  <c:v>2.1395999999999998E-2</c:v>
                </c:pt>
                <c:pt idx="1">
                  <c:v>2.1398E-2</c:v>
                </c:pt>
                <c:pt idx="2">
                  <c:v>2.1398E-2</c:v>
                </c:pt>
                <c:pt idx="3">
                  <c:v>2.1398E-2</c:v>
                </c:pt>
                <c:pt idx="4">
                  <c:v>5.4117999999999999E-2</c:v>
                </c:pt>
                <c:pt idx="5">
                  <c:v>5.4141000000000002E-2</c:v>
                </c:pt>
                <c:pt idx="6">
                  <c:v>5.4128999999999997E-2</c:v>
                </c:pt>
                <c:pt idx="7">
                  <c:v>5.4128999999999997E-2</c:v>
                </c:pt>
                <c:pt idx="8">
                  <c:v>0.12191200000000001</c:v>
                </c:pt>
                <c:pt idx="9">
                  <c:v>0.12191200000000001</c:v>
                </c:pt>
                <c:pt idx="10">
                  <c:v>0.12191200000000001</c:v>
                </c:pt>
                <c:pt idx="11">
                  <c:v>0.12191299999999999</c:v>
                </c:pt>
                <c:pt idx="12">
                  <c:v>3.2200000000000002E-3</c:v>
                </c:pt>
                <c:pt idx="13">
                  <c:v>3.2309999999999999E-3</c:v>
                </c:pt>
                <c:pt idx="14">
                  <c:v>3.2320000000000001E-3</c:v>
                </c:pt>
                <c:pt idx="15">
                  <c:v>3.2320000000000001E-3</c:v>
                </c:pt>
                <c:pt idx="16">
                  <c:v>5.777E-3</c:v>
                </c:pt>
                <c:pt idx="17">
                  <c:v>5.777E-3</c:v>
                </c:pt>
                <c:pt idx="18">
                  <c:v>5.777E-3</c:v>
                </c:pt>
                <c:pt idx="19">
                  <c:v>5.777E-3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09-4178-BE42-C99B91A86232}"/>
            </c:ext>
          </c:extLst>
        </c:ser>
        <c:ser>
          <c:idx val="2"/>
          <c:order val="2"/>
          <c:tx>
            <c:strRef>
              <c:f>'l1d-l1i dcache'!$D$4:$D$5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dcache'!$A$6:$A$31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dcache'!$D$6:$D$31</c:f>
              <c:numCache>
                <c:formatCode>General</c:formatCode>
                <c:ptCount val="20"/>
                <c:pt idx="0">
                  <c:v>1.7753999999999999E-2</c:v>
                </c:pt>
                <c:pt idx="1">
                  <c:v>1.7753999999999999E-2</c:v>
                </c:pt>
                <c:pt idx="2">
                  <c:v>1.7753999999999999E-2</c:v>
                </c:pt>
                <c:pt idx="3">
                  <c:v>1.7753999999999999E-2</c:v>
                </c:pt>
                <c:pt idx="4">
                  <c:v>4.4297000000000003E-2</c:v>
                </c:pt>
                <c:pt idx="5">
                  <c:v>4.4316000000000001E-2</c:v>
                </c:pt>
                <c:pt idx="6">
                  <c:v>4.4306999999999999E-2</c:v>
                </c:pt>
                <c:pt idx="7">
                  <c:v>4.4306999999999999E-2</c:v>
                </c:pt>
                <c:pt idx="8">
                  <c:v>0.12187000000000001</c:v>
                </c:pt>
                <c:pt idx="9">
                  <c:v>0.12187000000000001</c:v>
                </c:pt>
                <c:pt idx="10">
                  <c:v>0.12187000000000001</c:v>
                </c:pt>
                <c:pt idx="11">
                  <c:v>0.12187000000000001</c:v>
                </c:pt>
                <c:pt idx="12">
                  <c:v>2.5539999999999998E-3</c:v>
                </c:pt>
                <c:pt idx="13">
                  <c:v>2.5609999999999999E-3</c:v>
                </c:pt>
                <c:pt idx="14">
                  <c:v>2.5600000000000002E-3</c:v>
                </c:pt>
                <c:pt idx="15">
                  <c:v>2.5609999999999999E-3</c:v>
                </c:pt>
                <c:pt idx="16">
                  <c:v>3.4680000000000002E-3</c:v>
                </c:pt>
                <c:pt idx="17">
                  <c:v>3.4680000000000002E-3</c:v>
                </c:pt>
                <c:pt idx="18">
                  <c:v>3.4680000000000002E-3</c:v>
                </c:pt>
                <c:pt idx="19">
                  <c:v>3.4680000000000002E-3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9-4178-BE42-C99B91A86232}"/>
            </c:ext>
          </c:extLst>
        </c:ser>
        <c:ser>
          <c:idx val="3"/>
          <c:order val="3"/>
          <c:tx>
            <c:strRef>
              <c:f>'l1d-l1i dcache'!$E$4:$E$5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dcache'!$A$6:$A$31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dcache'!$E$6:$E$31</c:f>
              <c:numCache>
                <c:formatCode>General</c:formatCode>
                <c:ptCount val="20"/>
                <c:pt idx="0">
                  <c:v>1.4061000000000001E-2</c:v>
                </c:pt>
                <c:pt idx="1">
                  <c:v>1.4063000000000001E-2</c:v>
                </c:pt>
                <c:pt idx="2">
                  <c:v>1.4061000000000001E-2</c:v>
                </c:pt>
                <c:pt idx="3">
                  <c:v>1.4063000000000001E-2</c:v>
                </c:pt>
                <c:pt idx="4">
                  <c:v>4.4297000000000003E-2</c:v>
                </c:pt>
                <c:pt idx="5">
                  <c:v>4.4316000000000001E-2</c:v>
                </c:pt>
                <c:pt idx="6">
                  <c:v>4.4306999999999999E-2</c:v>
                </c:pt>
                <c:pt idx="7">
                  <c:v>4.4306999999999999E-2</c:v>
                </c:pt>
                <c:pt idx="8">
                  <c:v>0.12184499999999999</c:v>
                </c:pt>
                <c:pt idx="9">
                  <c:v>0.12184499999999999</c:v>
                </c:pt>
                <c:pt idx="10">
                  <c:v>0.12184499999999999</c:v>
                </c:pt>
                <c:pt idx="11">
                  <c:v>0.12184499999999999</c:v>
                </c:pt>
                <c:pt idx="12">
                  <c:v>2.2169999999999998E-3</c:v>
                </c:pt>
                <c:pt idx="13">
                  <c:v>2.2200000000000002E-3</c:v>
                </c:pt>
                <c:pt idx="14">
                  <c:v>2.2200000000000002E-3</c:v>
                </c:pt>
                <c:pt idx="15">
                  <c:v>2.2200000000000002E-3</c:v>
                </c:pt>
                <c:pt idx="16">
                  <c:v>1.493E-3</c:v>
                </c:pt>
                <c:pt idx="17">
                  <c:v>1.493E-3</c:v>
                </c:pt>
                <c:pt idx="18">
                  <c:v>1.493E-3</c:v>
                </c:pt>
                <c:pt idx="19">
                  <c:v>1.493E-3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09-4178-BE42-C99B91A86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 miss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08715610953481"/>
          <c:y val="0.23928260595073819"/>
          <c:w val="4.7966344004638541E-2"/>
          <c:h val="0.3281462792102961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icache!PivotTable1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icache'!$B$4:$B$5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icache'!$A$6:$A$31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icache'!$B$6:$B$31</c:f>
              <c:numCache>
                <c:formatCode>General</c:formatCode>
                <c:ptCount val="20"/>
                <c:pt idx="0">
                  <c:v>2.5999999999999998E-4</c:v>
                </c:pt>
                <c:pt idx="1">
                  <c:v>8.6000000000000003E-5</c:v>
                </c:pt>
                <c:pt idx="2">
                  <c:v>7.6000000000000004E-5</c:v>
                </c:pt>
                <c:pt idx="3">
                  <c:v>7.2000000000000002E-5</c:v>
                </c:pt>
                <c:pt idx="4">
                  <c:v>9.2370999999999995E-2</c:v>
                </c:pt>
                <c:pt idx="5">
                  <c:v>8.1946000000000005E-2</c:v>
                </c:pt>
                <c:pt idx="6">
                  <c:v>7.7635999999999997E-2</c:v>
                </c:pt>
                <c:pt idx="7">
                  <c:v>7.7204999999999996E-2</c:v>
                </c:pt>
                <c:pt idx="8">
                  <c:v>2.4000000000000001E-5</c:v>
                </c:pt>
                <c:pt idx="9">
                  <c:v>2.0999999999999999E-5</c:v>
                </c:pt>
                <c:pt idx="10">
                  <c:v>2.0000000000000002E-5</c:v>
                </c:pt>
                <c:pt idx="11">
                  <c:v>1.9000000000000001E-5</c:v>
                </c:pt>
                <c:pt idx="12">
                  <c:v>6.1148000000000001E-2</c:v>
                </c:pt>
                <c:pt idx="13">
                  <c:v>4.6680000000000003E-3</c:v>
                </c:pt>
                <c:pt idx="14">
                  <c:v>3.4E-5</c:v>
                </c:pt>
                <c:pt idx="15">
                  <c:v>2.9E-5</c:v>
                </c:pt>
                <c:pt idx="16">
                  <c:v>1.1980000000000001E-3</c:v>
                </c:pt>
                <c:pt idx="17">
                  <c:v>6.2699999999999995E-4</c:v>
                </c:pt>
                <c:pt idx="18">
                  <c:v>1.36E-4</c:v>
                </c:pt>
                <c:pt idx="19">
                  <c:v>1.2300000000000001E-4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2-4AC8-9943-A484CD602018}"/>
            </c:ext>
          </c:extLst>
        </c:ser>
        <c:ser>
          <c:idx val="1"/>
          <c:order val="1"/>
          <c:tx>
            <c:strRef>
              <c:f>'l1d-l1i icache'!$C$4:$C$5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icache'!$A$6:$A$31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icache'!$C$6:$C$31</c:f>
              <c:numCache>
                <c:formatCode>General</c:formatCode>
                <c:ptCount val="20"/>
                <c:pt idx="0">
                  <c:v>2.5399999999999999E-4</c:v>
                </c:pt>
                <c:pt idx="1">
                  <c:v>8.6000000000000003E-5</c:v>
                </c:pt>
                <c:pt idx="2">
                  <c:v>7.6000000000000004E-5</c:v>
                </c:pt>
                <c:pt idx="3">
                  <c:v>7.2000000000000002E-5</c:v>
                </c:pt>
                <c:pt idx="4">
                  <c:v>9.2795000000000002E-2</c:v>
                </c:pt>
                <c:pt idx="5">
                  <c:v>8.2102999999999995E-2</c:v>
                </c:pt>
                <c:pt idx="6">
                  <c:v>7.7973000000000001E-2</c:v>
                </c:pt>
                <c:pt idx="7">
                  <c:v>7.7539999999999998E-2</c:v>
                </c:pt>
                <c:pt idx="8">
                  <c:v>2.4000000000000001E-5</c:v>
                </c:pt>
                <c:pt idx="9">
                  <c:v>2.0999999999999999E-5</c:v>
                </c:pt>
                <c:pt idx="10">
                  <c:v>2.0000000000000002E-5</c:v>
                </c:pt>
                <c:pt idx="11">
                  <c:v>1.9000000000000001E-5</c:v>
                </c:pt>
                <c:pt idx="12">
                  <c:v>6.1151999999999998E-2</c:v>
                </c:pt>
                <c:pt idx="13">
                  <c:v>4.6680000000000003E-3</c:v>
                </c:pt>
                <c:pt idx="14">
                  <c:v>3.4E-5</c:v>
                </c:pt>
                <c:pt idx="15">
                  <c:v>2.9E-5</c:v>
                </c:pt>
                <c:pt idx="16">
                  <c:v>1.194E-3</c:v>
                </c:pt>
                <c:pt idx="17">
                  <c:v>6.2600000000000004E-4</c:v>
                </c:pt>
                <c:pt idx="18">
                  <c:v>1.36E-4</c:v>
                </c:pt>
                <c:pt idx="19">
                  <c:v>1.2300000000000001E-4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E2-4AC8-9943-A484CD602018}"/>
            </c:ext>
          </c:extLst>
        </c:ser>
        <c:ser>
          <c:idx val="2"/>
          <c:order val="2"/>
          <c:tx>
            <c:strRef>
              <c:f>'l1d-l1i icache'!$D$4:$D$5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icache'!$A$6:$A$31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icache'!$D$6:$D$31</c:f>
              <c:numCache>
                <c:formatCode>General</c:formatCode>
                <c:ptCount val="20"/>
                <c:pt idx="0">
                  <c:v>2.5399999999999999E-4</c:v>
                </c:pt>
                <c:pt idx="1">
                  <c:v>8.6000000000000003E-5</c:v>
                </c:pt>
                <c:pt idx="2">
                  <c:v>7.6000000000000004E-5</c:v>
                </c:pt>
                <c:pt idx="3">
                  <c:v>7.2000000000000002E-5</c:v>
                </c:pt>
                <c:pt idx="4">
                  <c:v>9.2743000000000006E-2</c:v>
                </c:pt>
                <c:pt idx="5">
                  <c:v>8.2461000000000007E-2</c:v>
                </c:pt>
                <c:pt idx="6">
                  <c:v>7.8312000000000007E-2</c:v>
                </c:pt>
                <c:pt idx="7">
                  <c:v>7.7877000000000002E-2</c:v>
                </c:pt>
                <c:pt idx="8">
                  <c:v>2.4000000000000001E-5</c:v>
                </c:pt>
                <c:pt idx="9">
                  <c:v>2.0999999999999999E-5</c:v>
                </c:pt>
                <c:pt idx="10">
                  <c:v>2.0000000000000002E-5</c:v>
                </c:pt>
                <c:pt idx="11">
                  <c:v>1.9000000000000001E-5</c:v>
                </c:pt>
                <c:pt idx="12">
                  <c:v>6.1154E-2</c:v>
                </c:pt>
                <c:pt idx="13">
                  <c:v>4.6680000000000003E-3</c:v>
                </c:pt>
                <c:pt idx="14">
                  <c:v>3.4E-5</c:v>
                </c:pt>
                <c:pt idx="15">
                  <c:v>2.9E-5</c:v>
                </c:pt>
                <c:pt idx="16">
                  <c:v>1.188E-3</c:v>
                </c:pt>
                <c:pt idx="17">
                  <c:v>6.2399999999999999E-4</c:v>
                </c:pt>
                <c:pt idx="18">
                  <c:v>1.35E-4</c:v>
                </c:pt>
                <c:pt idx="19">
                  <c:v>1.2300000000000001E-4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E2-4AC8-9943-A484CD602018}"/>
            </c:ext>
          </c:extLst>
        </c:ser>
        <c:ser>
          <c:idx val="3"/>
          <c:order val="3"/>
          <c:tx>
            <c:strRef>
              <c:f>'l1d-l1i icache'!$E$4:$E$5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icache'!$A$6:$A$31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icache'!$E$6:$E$31</c:f>
              <c:numCache>
                <c:formatCode>General</c:formatCode>
                <c:ptCount val="20"/>
                <c:pt idx="0">
                  <c:v>2.5399999999999999E-4</c:v>
                </c:pt>
                <c:pt idx="1">
                  <c:v>8.6000000000000003E-5</c:v>
                </c:pt>
                <c:pt idx="2">
                  <c:v>7.6000000000000004E-5</c:v>
                </c:pt>
                <c:pt idx="3">
                  <c:v>7.2000000000000002E-5</c:v>
                </c:pt>
                <c:pt idx="4">
                  <c:v>9.2743000000000006E-2</c:v>
                </c:pt>
                <c:pt idx="5">
                  <c:v>8.2461000000000007E-2</c:v>
                </c:pt>
                <c:pt idx="6">
                  <c:v>7.8312000000000007E-2</c:v>
                </c:pt>
                <c:pt idx="7">
                  <c:v>7.7877000000000002E-2</c:v>
                </c:pt>
                <c:pt idx="8">
                  <c:v>2.4000000000000001E-5</c:v>
                </c:pt>
                <c:pt idx="9">
                  <c:v>2.0999999999999999E-5</c:v>
                </c:pt>
                <c:pt idx="10">
                  <c:v>2.0000000000000002E-5</c:v>
                </c:pt>
                <c:pt idx="11">
                  <c:v>1.9000000000000001E-5</c:v>
                </c:pt>
                <c:pt idx="12">
                  <c:v>6.1155000000000001E-2</c:v>
                </c:pt>
                <c:pt idx="13">
                  <c:v>4.6680000000000003E-3</c:v>
                </c:pt>
                <c:pt idx="14">
                  <c:v>3.4999999999999997E-5</c:v>
                </c:pt>
                <c:pt idx="15">
                  <c:v>2.9E-5</c:v>
                </c:pt>
                <c:pt idx="16">
                  <c:v>1.1839999999999999E-3</c:v>
                </c:pt>
                <c:pt idx="17">
                  <c:v>6.2399999999999999E-4</c:v>
                </c:pt>
                <c:pt idx="18">
                  <c:v>1.35E-4</c:v>
                </c:pt>
                <c:pt idx="19">
                  <c:v>1.2300000000000001E-4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E2-4AC8-9943-A484CD60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 miss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08715610953481"/>
          <c:y val="0.23928260595073819"/>
          <c:w val="4.7965707102896396E-2"/>
          <c:h val="0.3281462792102961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l2!PivotTable1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l2'!$B$4:$B$5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l2'!$A$6:$A$31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l2'!$B$6:$B$31</c:f>
              <c:numCache>
                <c:formatCode>General</c:formatCode>
                <c:ptCount val="20"/>
                <c:pt idx="0">
                  <c:v>0.221191</c:v>
                </c:pt>
                <c:pt idx="1">
                  <c:v>0.22145300000000001</c:v>
                </c:pt>
                <c:pt idx="2">
                  <c:v>0.22145599999999999</c:v>
                </c:pt>
                <c:pt idx="3">
                  <c:v>0.22145599999999999</c:v>
                </c:pt>
                <c:pt idx="4">
                  <c:v>0.75925900000000002</c:v>
                </c:pt>
                <c:pt idx="5">
                  <c:v>0.817276</c:v>
                </c:pt>
                <c:pt idx="6">
                  <c:v>0.84391099999999997</c:v>
                </c:pt>
                <c:pt idx="7">
                  <c:v>0.84681600000000001</c:v>
                </c:pt>
                <c:pt idx="8">
                  <c:v>0.99702100000000005</c:v>
                </c:pt>
                <c:pt idx="9">
                  <c:v>0.99703699999999995</c:v>
                </c:pt>
                <c:pt idx="10">
                  <c:v>0.99704300000000001</c:v>
                </c:pt>
                <c:pt idx="11">
                  <c:v>0.99704999999999999</c:v>
                </c:pt>
                <c:pt idx="12">
                  <c:v>2.4827999999999999E-2</c:v>
                </c:pt>
                <c:pt idx="13">
                  <c:v>0.14080999999999999</c:v>
                </c:pt>
                <c:pt idx="14">
                  <c:v>0.230099</c:v>
                </c:pt>
                <c:pt idx="15">
                  <c:v>0.230268</c:v>
                </c:pt>
                <c:pt idx="16">
                  <c:v>1.7738E-2</c:v>
                </c:pt>
                <c:pt idx="17">
                  <c:v>1.6906999999999998E-2</c:v>
                </c:pt>
                <c:pt idx="18">
                  <c:v>1.7308E-2</c:v>
                </c:pt>
                <c:pt idx="19">
                  <c:v>1.7301E-2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3-4A14-8C7F-F2A718FF0AC3}"/>
            </c:ext>
          </c:extLst>
        </c:ser>
        <c:ser>
          <c:idx val="1"/>
          <c:order val="1"/>
          <c:tx>
            <c:strRef>
              <c:f>'l1d-l1i l2'!$C$4:$C$5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l2'!$A$6:$A$31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l2'!$C$6:$C$31</c:f>
              <c:numCache>
                <c:formatCode>General</c:formatCode>
                <c:ptCount val="20"/>
                <c:pt idx="0">
                  <c:v>0.27140900000000001</c:v>
                </c:pt>
                <c:pt idx="1">
                  <c:v>0.27180100000000001</c:v>
                </c:pt>
                <c:pt idx="2">
                  <c:v>0.27181100000000002</c:v>
                </c:pt>
                <c:pt idx="3">
                  <c:v>0.271812</c:v>
                </c:pt>
                <c:pt idx="4">
                  <c:v>0.79870099999999999</c:v>
                </c:pt>
                <c:pt idx="5">
                  <c:v>0.86467499999999997</c:v>
                </c:pt>
                <c:pt idx="6">
                  <c:v>0.89292199999999999</c:v>
                </c:pt>
                <c:pt idx="7">
                  <c:v>0.89617500000000005</c:v>
                </c:pt>
                <c:pt idx="8">
                  <c:v>0.99860800000000005</c:v>
                </c:pt>
                <c:pt idx="9">
                  <c:v>0.99862399999999996</c:v>
                </c:pt>
                <c:pt idx="10">
                  <c:v>0.99863000000000002</c:v>
                </c:pt>
                <c:pt idx="11">
                  <c:v>0.998637</c:v>
                </c:pt>
                <c:pt idx="12">
                  <c:v>2.6505000000000001E-2</c:v>
                </c:pt>
                <c:pt idx="13">
                  <c:v>0.21732499999999999</c:v>
                </c:pt>
                <c:pt idx="14">
                  <c:v>0.54118900000000003</c:v>
                </c:pt>
                <c:pt idx="15">
                  <c:v>0.54210800000000003</c:v>
                </c:pt>
                <c:pt idx="16">
                  <c:v>2.4719000000000001E-2</c:v>
                </c:pt>
                <c:pt idx="17">
                  <c:v>2.3956999999999999E-2</c:v>
                </c:pt>
                <c:pt idx="18">
                  <c:v>2.4802999999999999E-2</c:v>
                </c:pt>
                <c:pt idx="19">
                  <c:v>2.4805000000000001E-2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3-4A14-8C7F-F2A718FF0AC3}"/>
            </c:ext>
          </c:extLst>
        </c:ser>
        <c:ser>
          <c:idx val="2"/>
          <c:order val="2"/>
          <c:tx>
            <c:strRef>
              <c:f>'l1d-l1i l2'!$D$4:$D$5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l2'!$A$6:$A$31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l2'!$D$6:$D$31</c:f>
              <c:numCache>
                <c:formatCode>General</c:formatCode>
                <c:ptCount val="20"/>
                <c:pt idx="0">
                  <c:v>0.32909899999999997</c:v>
                </c:pt>
                <c:pt idx="1">
                  <c:v>0.329683</c:v>
                </c:pt>
                <c:pt idx="2">
                  <c:v>0.329702</c:v>
                </c:pt>
                <c:pt idx="3">
                  <c:v>0.32970300000000002</c:v>
                </c:pt>
                <c:pt idx="4">
                  <c:v>0.84974099999999997</c:v>
                </c:pt>
                <c:pt idx="5">
                  <c:v>0.92134799999999994</c:v>
                </c:pt>
                <c:pt idx="6">
                  <c:v>0.953488</c:v>
                </c:pt>
                <c:pt idx="7">
                  <c:v>0.95719799999999999</c:v>
                </c:pt>
                <c:pt idx="8">
                  <c:v>0.999305</c:v>
                </c:pt>
                <c:pt idx="9">
                  <c:v>0.99932200000000004</c:v>
                </c:pt>
                <c:pt idx="10">
                  <c:v>0.99932699999999997</c:v>
                </c:pt>
                <c:pt idx="11">
                  <c:v>0.99933399999999994</c:v>
                </c:pt>
                <c:pt idx="12">
                  <c:v>2.6834E-2</c:v>
                </c:pt>
                <c:pt idx="13">
                  <c:v>0.23718400000000001</c:v>
                </c:pt>
                <c:pt idx="14">
                  <c:v>0.681334</c:v>
                </c:pt>
                <c:pt idx="15">
                  <c:v>0.68281400000000003</c:v>
                </c:pt>
                <c:pt idx="16">
                  <c:v>3.9240999999999998E-2</c:v>
                </c:pt>
                <c:pt idx="17">
                  <c:v>3.8890000000000001E-2</c:v>
                </c:pt>
                <c:pt idx="18">
                  <c:v>4.1162999999999998E-2</c:v>
                </c:pt>
                <c:pt idx="19">
                  <c:v>4.1189999999999997E-2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3-4A14-8C7F-F2A718FF0AC3}"/>
            </c:ext>
          </c:extLst>
        </c:ser>
        <c:ser>
          <c:idx val="3"/>
          <c:order val="3"/>
          <c:tx>
            <c:strRef>
              <c:f>'l1d-l1i l2'!$E$4:$E$5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l2'!$A$6:$A$31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l2'!$E$6:$E$31</c:f>
              <c:numCache>
                <c:formatCode>General</c:formatCode>
                <c:ptCount val="20"/>
                <c:pt idx="0">
                  <c:v>0.420709</c:v>
                </c:pt>
                <c:pt idx="1">
                  <c:v>0.42169699999999999</c:v>
                </c:pt>
                <c:pt idx="2">
                  <c:v>0.421736</c:v>
                </c:pt>
                <c:pt idx="3">
                  <c:v>0.42174299999999998</c:v>
                </c:pt>
                <c:pt idx="4">
                  <c:v>0.84974099999999997</c:v>
                </c:pt>
                <c:pt idx="5">
                  <c:v>0.92134799999999994</c:v>
                </c:pt>
                <c:pt idx="6">
                  <c:v>0.953488</c:v>
                </c:pt>
                <c:pt idx="7">
                  <c:v>0.95719799999999999</c:v>
                </c:pt>
                <c:pt idx="8">
                  <c:v>0.99971299999999996</c:v>
                </c:pt>
                <c:pt idx="9">
                  <c:v>0.99973000000000001</c:v>
                </c:pt>
                <c:pt idx="10">
                  <c:v>0.99973500000000004</c:v>
                </c:pt>
                <c:pt idx="11">
                  <c:v>0.99974200000000002</c:v>
                </c:pt>
                <c:pt idx="12">
                  <c:v>2.7237999999999998E-2</c:v>
                </c:pt>
                <c:pt idx="13">
                  <c:v>0.25069599999999997</c:v>
                </c:pt>
                <c:pt idx="14">
                  <c:v>0.78995199999999999</c:v>
                </c:pt>
                <c:pt idx="15">
                  <c:v>0.79192600000000002</c:v>
                </c:pt>
                <c:pt idx="16">
                  <c:v>7.5246999999999994E-2</c:v>
                </c:pt>
                <c:pt idx="17">
                  <c:v>8.2375000000000004E-2</c:v>
                </c:pt>
                <c:pt idx="18">
                  <c:v>9.3235999999999999E-2</c:v>
                </c:pt>
                <c:pt idx="19">
                  <c:v>9.3507000000000007E-2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3-4A14-8C7F-F2A718FF0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 miss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716096593725652"/>
          <c:y val="0.22854435545694779"/>
          <c:w val="4.7965707102896396E-2"/>
          <c:h val="0.3281462792102961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cpi!PivotTable1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cpi'!$A$4:$A$24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cpi'!$B$4:$B$24</c:f>
              <c:numCache>
                <c:formatCode>General</c:formatCode>
                <c:ptCount val="15"/>
                <c:pt idx="0">
                  <c:v>1.727746</c:v>
                </c:pt>
                <c:pt idx="1">
                  <c:v>1.688318</c:v>
                </c:pt>
                <c:pt idx="2">
                  <c:v>1.67506</c:v>
                </c:pt>
                <c:pt idx="3">
                  <c:v>4.5237769999999999</c:v>
                </c:pt>
                <c:pt idx="4">
                  <c:v>4.4505759999999999</c:v>
                </c:pt>
                <c:pt idx="5">
                  <c:v>4.4505759999999999</c:v>
                </c:pt>
                <c:pt idx="6">
                  <c:v>7.0422409999999998</c:v>
                </c:pt>
                <c:pt idx="7">
                  <c:v>7.0412840000000001</c:v>
                </c:pt>
                <c:pt idx="8">
                  <c:v>7.0412840000000001</c:v>
                </c:pt>
                <c:pt idx="9">
                  <c:v>1.1022460000000001</c:v>
                </c:pt>
                <c:pt idx="10">
                  <c:v>1.098104</c:v>
                </c:pt>
                <c:pt idx="11">
                  <c:v>1.0975969999999999</c:v>
                </c:pt>
                <c:pt idx="12">
                  <c:v>1.2323850000000001</c:v>
                </c:pt>
                <c:pt idx="13">
                  <c:v>1.1879999999999999</c:v>
                </c:pt>
                <c:pt idx="14">
                  <c:v>1.185092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3-47CC-83EA-2F5796E06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dcache!PivotTable1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dcache'!$A$4:$A$24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dcache'!$B$4:$B$24</c:f>
              <c:numCache>
                <c:formatCode>General</c:formatCode>
                <c:ptCount val="15"/>
                <c:pt idx="0">
                  <c:v>2.1398E-2</c:v>
                </c:pt>
                <c:pt idx="1">
                  <c:v>1.7826000000000002E-2</c:v>
                </c:pt>
                <c:pt idx="2">
                  <c:v>1.6514999999999998E-2</c:v>
                </c:pt>
                <c:pt idx="3">
                  <c:v>5.4128999999999997E-2</c:v>
                </c:pt>
                <c:pt idx="4">
                  <c:v>4.4734999999999997E-2</c:v>
                </c:pt>
                <c:pt idx="5">
                  <c:v>4.4306999999999999E-2</c:v>
                </c:pt>
                <c:pt idx="6">
                  <c:v>0.12191200000000001</c:v>
                </c:pt>
                <c:pt idx="7">
                  <c:v>0.12183099999999999</c:v>
                </c:pt>
                <c:pt idx="8">
                  <c:v>0.12182900000000001</c:v>
                </c:pt>
                <c:pt idx="9">
                  <c:v>3.2320000000000001E-3</c:v>
                </c:pt>
                <c:pt idx="10">
                  <c:v>2.3900000000000002E-3</c:v>
                </c:pt>
                <c:pt idx="11">
                  <c:v>2.2780000000000001E-3</c:v>
                </c:pt>
                <c:pt idx="12">
                  <c:v>5.777E-3</c:v>
                </c:pt>
                <c:pt idx="13">
                  <c:v>2.3679999999999999E-3</c:v>
                </c:pt>
                <c:pt idx="14">
                  <c:v>2.029E-3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5-4132-96E7-EF82E5D0D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icache!PivotTable1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icache'!$B$4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icache'!$A$5:$A$25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icache'!$B$5:$B$25</c:f>
              <c:numCache>
                <c:formatCode>General</c:formatCode>
                <c:ptCount val="15"/>
                <c:pt idx="0">
                  <c:v>7.6000000000000004E-5</c:v>
                </c:pt>
                <c:pt idx="1">
                  <c:v>7.6000000000000004E-5</c:v>
                </c:pt>
                <c:pt idx="2">
                  <c:v>7.6000000000000004E-5</c:v>
                </c:pt>
                <c:pt idx="3">
                  <c:v>7.7973000000000001E-2</c:v>
                </c:pt>
                <c:pt idx="4">
                  <c:v>7.8260999999999997E-2</c:v>
                </c:pt>
                <c:pt idx="5">
                  <c:v>7.8312000000000007E-2</c:v>
                </c:pt>
                <c:pt idx="6">
                  <c:v>2.0000000000000002E-5</c:v>
                </c:pt>
                <c:pt idx="7">
                  <c:v>2.0000000000000002E-5</c:v>
                </c:pt>
                <c:pt idx="8">
                  <c:v>2.0000000000000002E-5</c:v>
                </c:pt>
                <c:pt idx="9">
                  <c:v>3.4E-5</c:v>
                </c:pt>
                <c:pt idx="10">
                  <c:v>3.4E-5</c:v>
                </c:pt>
                <c:pt idx="11">
                  <c:v>3.4E-5</c:v>
                </c:pt>
                <c:pt idx="12">
                  <c:v>1.36E-4</c:v>
                </c:pt>
                <c:pt idx="13">
                  <c:v>1.36E-4</c:v>
                </c:pt>
                <c:pt idx="14">
                  <c:v>1.35E-4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DE-4257-A229-4301BC33B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l2!PivotTable1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l2'!$A$4:$A$24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l2'!$B$4:$B$24</c:f>
              <c:numCache>
                <c:formatCode>General</c:formatCode>
                <c:ptCount val="15"/>
                <c:pt idx="0">
                  <c:v>0.27181100000000002</c:v>
                </c:pt>
                <c:pt idx="1">
                  <c:v>0.32708500000000001</c:v>
                </c:pt>
                <c:pt idx="2">
                  <c:v>0.35416300000000001</c:v>
                </c:pt>
                <c:pt idx="3">
                  <c:v>0.89292199999999999</c:v>
                </c:pt>
                <c:pt idx="4">
                  <c:v>0.94980699999999996</c:v>
                </c:pt>
                <c:pt idx="5">
                  <c:v>0.953488</c:v>
                </c:pt>
                <c:pt idx="6">
                  <c:v>0.99863000000000002</c:v>
                </c:pt>
                <c:pt idx="7">
                  <c:v>0.99995400000000001</c:v>
                </c:pt>
                <c:pt idx="8">
                  <c:v>0.999973</c:v>
                </c:pt>
                <c:pt idx="9">
                  <c:v>0.54118900000000003</c:v>
                </c:pt>
                <c:pt idx="10">
                  <c:v>0.73771900000000001</c:v>
                </c:pt>
                <c:pt idx="11">
                  <c:v>0.77809499999999998</c:v>
                </c:pt>
                <c:pt idx="12">
                  <c:v>2.4802999999999999E-2</c:v>
                </c:pt>
                <c:pt idx="13">
                  <c:v>5.9326999999999998E-2</c:v>
                </c:pt>
                <c:pt idx="14">
                  <c:v>6.8987999999999994E-2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D-40D8-8A82-1D71A010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cpi!PivotTable1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cpi'!$A$4:$A$24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cpi'!$B$4:$B$24</c:f>
              <c:numCache>
                <c:formatCode>General</c:formatCode>
                <c:ptCount val="15"/>
                <c:pt idx="0">
                  <c:v>1.727746</c:v>
                </c:pt>
                <c:pt idx="1">
                  <c:v>1.7276959999999999</c:v>
                </c:pt>
                <c:pt idx="2">
                  <c:v>1.7277910000000001</c:v>
                </c:pt>
                <c:pt idx="3">
                  <c:v>4.5237769999999999</c:v>
                </c:pt>
                <c:pt idx="4">
                  <c:v>4.5163729999999997</c:v>
                </c:pt>
                <c:pt idx="5">
                  <c:v>4.5163729999999997</c:v>
                </c:pt>
                <c:pt idx="6">
                  <c:v>7.0422409999999998</c:v>
                </c:pt>
                <c:pt idx="7">
                  <c:v>7.0422180000000001</c:v>
                </c:pt>
                <c:pt idx="8">
                  <c:v>7.0422560000000001</c:v>
                </c:pt>
                <c:pt idx="9">
                  <c:v>1.1022460000000001</c:v>
                </c:pt>
                <c:pt idx="10">
                  <c:v>1.1023210000000001</c:v>
                </c:pt>
                <c:pt idx="11">
                  <c:v>1.1022430000000001</c:v>
                </c:pt>
                <c:pt idx="12">
                  <c:v>1.2323850000000001</c:v>
                </c:pt>
                <c:pt idx="13">
                  <c:v>1.232289</c:v>
                </c:pt>
                <c:pt idx="14">
                  <c:v>1.2322610000000001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80-4C91-8337-EA7D23A65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dcache!PivotTable1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dcache'!$A$4:$A$24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dcache'!$B$4:$B$24</c:f>
              <c:numCache>
                <c:formatCode>General</c:formatCode>
                <c:ptCount val="15"/>
                <c:pt idx="0">
                  <c:v>2.1398E-2</c:v>
                </c:pt>
                <c:pt idx="1">
                  <c:v>2.1395999999999998E-2</c:v>
                </c:pt>
                <c:pt idx="2">
                  <c:v>2.1396999999999999E-2</c:v>
                </c:pt>
                <c:pt idx="3">
                  <c:v>5.4128999999999997E-2</c:v>
                </c:pt>
                <c:pt idx="4">
                  <c:v>5.4128999999999997E-2</c:v>
                </c:pt>
                <c:pt idx="5">
                  <c:v>5.4128999999999997E-2</c:v>
                </c:pt>
                <c:pt idx="6">
                  <c:v>0.12191200000000001</c:v>
                </c:pt>
                <c:pt idx="7">
                  <c:v>0.12191299999999999</c:v>
                </c:pt>
                <c:pt idx="8">
                  <c:v>0.12191299999999999</c:v>
                </c:pt>
                <c:pt idx="9">
                  <c:v>3.2320000000000001E-3</c:v>
                </c:pt>
                <c:pt idx="10">
                  <c:v>3.2320000000000001E-3</c:v>
                </c:pt>
                <c:pt idx="11">
                  <c:v>3.2320000000000001E-3</c:v>
                </c:pt>
                <c:pt idx="12">
                  <c:v>5.777E-3</c:v>
                </c:pt>
                <c:pt idx="13">
                  <c:v>5.777E-3</c:v>
                </c:pt>
                <c:pt idx="14">
                  <c:v>5.777E-3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C-4726-81E8-17475F4B2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icache!PivotTable1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icache'!$B$4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icache'!$A$5:$A$25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icache'!$B$5:$B$25</c:f>
              <c:numCache>
                <c:formatCode>General</c:formatCode>
                <c:ptCount val="15"/>
                <c:pt idx="0">
                  <c:v>7.6000000000000004E-5</c:v>
                </c:pt>
                <c:pt idx="1">
                  <c:v>6.9999999999999994E-5</c:v>
                </c:pt>
                <c:pt idx="2">
                  <c:v>6.7000000000000002E-5</c:v>
                </c:pt>
                <c:pt idx="3">
                  <c:v>7.7973000000000001E-2</c:v>
                </c:pt>
                <c:pt idx="4">
                  <c:v>7.7306E-2</c:v>
                </c:pt>
                <c:pt idx="5">
                  <c:v>7.6622999999999997E-2</c:v>
                </c:pt>
                <c:pt idx="6">
                  <c:v>2.0000000000000002E-5</c:v>
                </c:pt>
                <c:pt idx="7">
                  <c:v>1.9000000000000001E-5</c:v>
                </c:pt>
                <c:pt idx="8">
                  <c:v>1.9000000000000001E-5</c:v>
                </c:pt>
                <c:pt idx="9">
                  <c:v>3.4E-5</c:v>
                </c:pt>
                <c:pt idx="10">
                  <c:v>1.9000000000000001E-5</c:v>
                </c:pt>
                <c:pt idx="11">
                  <c:v>1.9000000000000001E-5</c:v>
                </c:pt>
                <c:pt idx="12">
                  <c:v>1.36E-4</c:v>
                </c:pt>
                <c:pt idx="13">
                  <c:v>1.02E-4</c:v>
                </c:pt>
                <c:pt idx="14">
                  <c:v>8.2000000000000001E-5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F-492C-8088-71B86210F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l2!PivotTable1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l2'!$A$4:$A$24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l2'!$B$4:$B$24</c:f>
              <c:numCache>
                <c:formatCode>General</c:formatCode>
                <c:ptCount val="15"/>
                <c:pt idx="0">
                  <c:v>0.27181100000000002</c:v>
                </c:pt>
                <c:pt idx="1">
                  <c:v>0.27180599999999999</c:v>
                </c:pt>
                <c:pt idx="2">
                  <c:v>0.27181300000000003</c:v>
                </c:pt>
                <c:pt idx="3">
                  <c:v>0.89292199999999999</c:v>
                </c:pt>
                <c:pt idx="4">
                  <c:v>0.89781</c:v>
                </c:pt>
                <c:pt idx="5">
                  <c:v>0.902752</c:v>
                </c:pt>
                <c:pt idx="6">
                  <c:v>0.99863000000000002</c:v>
                </c:pt>
                <c:pt idx="7">
                  <c:v>0.99863800000000003</c:v>
                </c:pt>
                <c:pt idx="8">
                  <c:v>0.99863800000000003</c:v>
                </c:pt>
                <c:pt idx="9">
                  <c:v>0.54118900000000003</c:v>
                </c:pt>
                <c:pt idx="10">
                  <c:v>0.54366899999999996</c:v>
                </c:pt>
                <c:pt idx="11">
                  <c:v>0.54369500000000004</c:v>
                </c:pt>
                <c:pt idx="12">
                  <c:v>2.4802999999999999E-2</c:v>
                </c:pt>
                <c:pt idx="13">
                  <c:v>2.4715999999999998E-2</c:v>
                </c:pt>
                <c:pt idx="14">
                  <c:v>2.4750999999999999E-2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E-4F8E-8E86-0C9BBBCA4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cpi!PivotTable1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cpi'!$A$4:$A$24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cpi'!$B$4:$B$24</c:f>
              <c:numCache>
                <c:formatCode>General</c:formatCode>
                <c:ptCount val="15"/>
                <c:pt idx="0">
                  <c:v>1.7450319999999999</c:v>
                </c:pt>
                <c:pt idx="1">
                  <c:v>1.727746</c:v>
                </c:pt>
                <c:pt idx="2">
                  <c:v>1.726159</c:v>
                </c:pt>
                <c:pt idx="3">
                  <c:v>4.5237769999999999</c:v>
                </c:pt>
                <c:pt idx="4">
                  <c:v>4.5237769999999999</c:v>
                </c:pt>
                <c:pt idx="5">
                  <c:v>4.5237769999999999</c:v>
                </c:pt>
                <c:pt idx="6">
                  <c:v>7.0423330000000002</c:v>
                </c:pt>
                <c:pt idx="7">
                  <c:v>7.0422409999999998</c:v>
                </c:pt>
                <c:pt idx="8">
                  <c:v>7.0423710000000002</c:v>
                </c:pt>
                <c:pt idx="9">
                  <c:v>1.1036170000000001</c:v>
                </c:pt>
                <c:pt idx="10">
                  <c:v>1.1022460000000001</c:v>
                </c:pt>
                <c:pt idx="11">
                  <c:v>1.1020840000000001</c:v>
                </c:pt>
                <c:pt idx="12">
                  <c:v>1.2327090000000001</c:v>
                </c:pt>
                <c:pt idx="13">
                  <c:v>1.2323850000000001</c:v>
                </c:pt>
                <c:pt idx="14">
                  <c:v>1.232297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3-460D-8BAA-0B8171BCA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dcache!PivotTable1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dcache'!$A$4:$A$24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dcache'!$B$4:$B$24</c:f>
              <c:numCache>
                <c:formatCode>General</c:formatCode>
                <c:ptCount val="15"/>
                <c:pt idx="0">
                  <c:v>2.1366E-2</c:v>
                </c:pt>
                <c:pt idx="1">
                  <c:v>2.1398E-2</c:v>
                </c:pt>
                <c:pt idx="2">
                  <c:v>2.1398E-2</c:v>
                </c:pt>
                <c:pt idx="3">
                  <c:v>5.4128999999999997E-2</c:v>
                </c:pt>
                <c:pt idx="4">
                  <c:v>5.4128999999999997E-2</c:v>
                </c:pt>
                <c:pt idx="5">
                  <c:v>5.4128999999999997E-2</c:v>
                </c:pt>
                <c:pt idx="6">
                  <c:v>0.12191200000000001</c:v>
                </c:pt>
                <c:pt idx="7">
                  <c:v>0.12191200000000001</c:v>
                </c:pt>
                <c:pt idx="8">
                  <c:v>0.12191299999999999</c:v>
                </c:pt>
                <c:pt idx="9">
                  <c:v>3.2320000000000001E-3</c:v>
                </c:pt>
                <c:pt idx="10">
                  <c:v>3.2320000000000001E-3</c:v>
                </c:pt>
                <c:pt idx="11">
                  <c:v>3.2320000000000001E-3</c:v>
                </c:pt>
                <c:pt idx="12">
                  <c:v>5.7800000000000004E-3</c:v>
                </c:pt>
                <c:pt idx="13">
                  <c:v>5.777E-3</c:v>
                </c:pt>
                <c:pt idx="14">
                  <c:v>5.777E-3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1-4BD0-A72B-AA4858074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icache!PivotTable1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icache'!$B$4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icache'!$A$5:$A$25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icache'!$B$5:$B$25</c:f>
              <c:numCache>
                <c:formatCode>General</c:formatCode>
                <c:ptCount val="15"/>
                <c:pt idx="0">
                  <c:v>7.6000000000000004E-5</c:v>
                </c:pt>
                <c:pt idx="1">
                  <c:v>7.6000000000000004E-5</c:v>
                </c:pt>
                <c:pt idx="2">
                  <c:v>7.6000000000000004E-5</c:v>
                </c:pt>
                <c:pt idx="3">
                  <c:v>7.7973000000000001E-2</c:v>
                </c:pt>
                <c:pt idx="4">
                  <c:v>7.7973000000000001E-2</c:v>
                </c:pt>
                <c:pt idx="5">
                  <c:v>7.7973000000000001E-2</c:v>
                </c:pt>
                <c:pt idx="6">
                  <c:v>2.0000000000000002E-5</c:v>
                </c:pt>
                <c:pt idx="7">
                  <c:v>2.0000000000000002E-5</c:v>
                </c:pt>
                <c:pt idx="8">
                  <c:v>2.0000000000000002E-5</c:v>
                </c:pt>
                <c:pt idx="9">
                  <c:v>3.4E-5</c:v>
                </c:pt>
                <c:pt idx="10">
                  <c:v>3.4E-5</c:v>
                </c:pt>
                <c:pt idx="11">
                  <c:v>3.4E-5</c:v>
                </c:pt>
                <c:pt idx="12">
                  <c:v>1.36E-4</c:v>
                </c:pt>
                <c:pt idx="13">
                  <c:v>1.36E-4</c:v>
                </c:pt>
                <c:pt idx="14">
                  <c:v>1.36E-4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E94-BA98-AA1EB0130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l2!PivotTable1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l2'!$A$4:$A$24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l2'!$B$4:$B$24</c:f>
              <c:numCache>
                <c:formatCode>General</c:formatCode>
                <c:ptCount val="15"/>
                <c:pt idx="0">
                  <c:v>0.30058699999999999</c:v>
                </c:pt>
                <c:pt idx="1">
                  <c:v>0.27181100000000002</c:v>
                </c:pt>
                <c:pt idx="2">
                  <c:v>0.26552999999999999</c:v>
                </c:pt>
                <c:pt idx="3">
                  <c:v>0.89292199999999999</c:v>
                </c:pt>
                <c:pt idx="4">
                  <c:v>0.89292199999999999</c:v>
                </c:pt>
                <c:pt idx="5">
                  <c:v>0.89292199999999999</c:v>
                </c:pt>
                <c:pt idx="6">
                  <c:v>0.998668</c:v>
                </c:pt>
                <c:pt idx="7">
                  <c:v>0.99863000000000002</c:v>
                </c:pt>
                <c:pt idx="8">
                  <c:v>0.99863000000000002</c:v>
                </c:pt>
                <c:pt idx="9">
                  <c:v>0.56542700000000001</c:v>
                </c:pt>
                <c:pt idx="10">
                  <c:v>0.54118900000000003</c:v>
                </c:pt>
                <c:pt idx="11">
                  <c:v>0.53511500000000001</c:v>
                </c:pt>
                <c:pt idx="12">
                  <c:v>2.6973E-2</c:v>
                </c:pt>
                <c:pt idx="13">
                  <c:v>2.4802999999999999E-2</c:v>
                </c:pt>
                <c:pt idx="14">
                  <c:v>2.4254000000000001E-2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4-43C7-8EF2-5C8221B0F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[data_summary.xlsm]l2_size cpi!PivotTable1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'l2_size cpi'!$B$3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'l2_size cpi'!$A$4:$A$34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'l2_size cpi'!$B$4:$B$34</c:f>
              <c:numCache>
                <c:formatCode>General</c:formatCode>
                <c:ptCount val="25"/>
                <c:pt idx="0">
                  <c:v>1.782824</c:v>
                </c:pt>
                <c:pt idx="1">
                  <c:v>1.727746</c:v>
                </c:pt>
                <c:pt idx="2">
                  <c:v>1.7011620000000001</c:v>
                </c:pt>
                <c:pt idx="3">
                  <c:v>1.6845969999999999</c:v>
                </c:pt>
                <c:pt idx="4">
                  <c:v>1.6668179999999999</c:v>
                </c:pt>
                <c:pt idx="5">
                  <c:v>4.5237769999999999</c:v>
                </c:pt>
                <c:pt idx="6">
                  <c:v>4.5237769999999999</c:v>
                </c:pt>
                <c:pt idx="7">
                  <c:v>4.5237769999999999</c:v>
                </c:pt>
                <c:pt idx="8">
                  <c:v>4.5237769999999999</c:v>
                </c:pt>
                <c:pt idx="9">
                  <c:v>4.5237769999999999</c:v>
                </c:pt>
                <c:pt idx="10">
                  <c:v>7.0424170000000004</c:v>
                </c:pt>
                <c:pt idx="11">
                  <c:v>7.0422409999999998</c:v>
                </c:pt>
                <c:pt idx="12">
                  <c:v>7.0419270000000003</c:v>
                </c:pt>
                <c:pt idx="13">
                  <c:v>7.0411229999999998</c:v>
                </c:pt>
                <c:pt idx="14">
                  <c:v>7.0394959999999998</c:v>
                </c:pt>
                <c:pt idx="15">
                  <c:v>1.104293</c:v>
                </c:pt>
                <c:pt idx="16">
                  <c:v>1.1022460000000001</c:v>
                </c:pt>
                <c:pt idx="17">
                  <c:v>1.0997710000000001</c:v>
                </c:pt>
                <c:pt idx="18">
                  <c:v>1.09768</c:v>
                </c:pt>
                <c:pt idx="19">
                  <c:v>1.0975239999999999</c:v>
                </c:pt>
                <c:pt idx="20">
                  <c:v>1.233336</c:v>
                </c:pt>
                <c:pt idx="21">
                  <c:v>1.2323850000000001</c:v>
                </c:pt>
                <c:pt idx="22">
                  <c:v>1.2322789999999999</c:v>
                </c:pt>
                <c:pt idx="23">
                  <c:v>1.2322789999999999</c:v>
                </c:pt>
                <c:pt idx="24">
                  <c:v>1.2322789999999999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2-4808-8633-4977AB613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system.cpu.cpi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[data_summary.xlsm]l2_size dcache!PivotTable1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'l2_size dcache'!$B$3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'l2_size dcache'!$A$4:$A$34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'l2_size dcache'!$B$4:$B$34</c:f>
              <c:numCache>
                <c:formatCode>General</c:formatCode>
                <c:ptCount val="25"/>
                <c:pt idx="0">
                  <c:v>2.138E-2</c:v>
                </c:pt>
                <c:pt idx="1">
                  <c:v>2.1398E-2</c:v>
                </c:pt>
                <c:pt idx="2">
                  <c:v>2.1405E-2</c:v>
                </c:pt>
                <c:pt idx="3">
                  <c:v>2.1402999999999998E-2</c:v>
                </c:pt>
                <c:pt idx="4">
                  <c:v>2.1402999999999998E-2</c:v>
                </c:pt>
                <c:pt idx="5">
                  <c:v>5.4128999999999997E-2</c:v>
                </c:pt>
                <c:pt idx="6">
                  <c:v>5.4128999999999997E-2</c:v>
                </c:pt>
                <c:pt idx="7">
                  <c:v>5.4128999999999997E-2</c:v>
                </c:pt>
                <c:pt idx="8">
                  <c:v>5.4128999999999997E-2</c:v>
                </c:pt>
                <c:pt idx="9">
                  <c:v>5.4128999999999997E-2</c:v>
                </c:pt>
                <c:pt idx="10">
                  <c:v>0.12191200000000001</c:v>
                </c:pt>
                <c:pt idx="11">
                  <c:v>0.12191200000000001</c:v>
                </c:pt>
                <c:pt idx="12">
                  <c:v>0.12191200000000001</c:v>
                </c:pt>
                <c:pt idx="13">
                  <c:v>0.12191200000000001</c:v>
                </c:pt>
                <c:pt idx="14">
                  <c:v>0.12191200000000001</c:v>
                </c:pt>
                <c:pt idx="15">
                  <c:v>3.2320000000000001E-3</c:v>
                </c:pt>
                <c:pt idx="16">
                  <c:v>3.2320000000000001E-3</c:v>
                </c:pt>
                <c:pt idx="17">
                  <c:v>3.2309999999999999E-3</c:v>
                </c:pt>
                <c:pt idx="18">
                  <c:v>3.2309999999999999E-3</c:v>
                </c:pt>
                <c:pt idx="19">
                  <c:v>3.2309999999999999E-3</c:v>
                </c:pt>
                <c:pt idx="20">
                  <c:v>5.7809999999999997E-3</c:v>
                </c:pt>
                <c:pt idx="21">
                  <c:v>5.777E-3</c:v>
                </c:pt>
                <c:pt idx="22">
                  <c:v>5.777E-3</c:v>
                </c:pt>
                <c:pt idx="23">
                  <c:v>5.777E-3</c:v>
                </c:pt>
                <c:pt idx="24">
                  <c:v>5.777E-3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7-4DE0-BFF0-60C28E385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system.cpu.dcache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[data_summary.xlsm]l2_size icache!PivotTable1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'l2_size icache'!$B$4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'l2_size icache'!$A$5:$A$35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'l2_size icache'!$B$5:$B$35</c:f>
              <c:numCache>
                <c:formatCode>General</c:formatCode>
                <c:ptCount val="25"/>
                <c:pt idx="0">
                  <c:v>7.6000000000000004E-5</c:v>
                </c:pt>
                <c:pt idx="1">
                  <c:v>7.6000000000000004E-5</c:v>
                </c:pt>
                <c:pt idx="2">
                  <c:v>7.6000000000000004E-5</c:v>
                </c:pt>
                <c:pt idx="3">
                  <c:v>7.6000000000000004E-5</c:v>
                </c:pt>
                <c:pt idx="4">
                  <c:v>7.6000000000000004E-5</c:v>
                </c:pt>
                <c:pt idx="5">
                  <c:v>7.7973000000000001E-2</c:v>
                </c:pt>
                <c:pt idx="6">
                  <c:v>7.7973000000000001E-2</c:v>
                </c:pt>
                <c:pt idx="7">
                  <c:v>7.7973000000000001E-2</c:v>
                </c:pt>
                <c:pt idx="8">
                  <c:v>7.7973000000000001E-2</c:v>
                </c:pt>
                <c:pt idx="9">
                  <c:v>7.7973000000000001E-2</c:v>
                </c:pt>
                <c:pt idx="10">
                  <c:v>2.0000000000000002E-5</c:v>
                </c:pt>
                <c:pt idx="11">
                  <c:v>2.0000000000000002E-5</c:v>
                </c:pt>
                <c:pt idx="12">
                  <c:v>2.0000000000000002E-5</c:v>
                </c:pt>
                <c:pt idx="13">
                  <c:v>2.0000000000000002E-5</c:v>
                </c:pt>
                <c:pt idx="14">
                  <c:v>2.0000000000000002E-5</c:v>
                </c:pt>
                <c:pt idx="15">
                  <c:v>3.4E-5</c:v>
                </c:pt>
                <c:pt idx="16">
                  <c:v>3.4E-5</c:v>
                </c:pt>
                <c:pt idx="17">
                  <c:v>3.4E-5</c:v>
                </c:pt>
                <c:pt idx="18">
                  <c:v>3.4E-5</c:v>
                </c:pt>
                <c:pt idx="19">
                  <c:v>3.4E-5</c:v>
                </c:pt>
                <c:pt idx="20">
                  <c:v>1.36E-4</c:v>
                </c:pt>
                <c:pt idx="21">
                  <c:v>1.36E-4</c:v>
                </c:pt>
                <c:pt idx="22">
                  <c:v>1.36E-4</c:v>
                </c:pt>
                <c:pt idx="23">
                  <c:v>1.36E-4</c:v>
                </c:pt>
                <c:pt idx="24">
                  <c:v>1.36E-4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9E-4A29-A5F4-A856F812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system.cpu.icache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[data_summary.xlsm]l2_size l2!PivotTable1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'l2_size l2'!$B$3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'l2_size l2'!$A$4:$A$34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'l2_size l2'!$B$4:$B$34</c:f>
              <c:numCache>
                <c:formatCode>General</c:formatCode>
                <c:ptCount val="25"/>
                <c:pt idx="0">
                  <c:v>0.35717199999999999</c:v>
                </c:pt>
                <c:pt idx="1">
                  <c:v>0.27181100000000002</c:v>
                </c:pt>
                <c:pt idx="2">
                  <c:v>0.22436600000000001</c:v>
                </c:pt>
                <c:pt idx="3">
                  <c:v>0.19744400000000001</c:v>
                </c:pt>
                <c:pt idx="4">
                  <c:v>0.170211</c:v>
                </c:pt>
                <c:pt idx="5">
                  <c:v>0.89292199999999999</c:v>
                </c:pt>
                <c:pt idx="6">
                  <c:v>0.89292199999999999</c:v>
                </c:pt>
                <c:pt idx="7">
                  <c:v>0.89292199999999999</c:v>
                </c:pt>
                <c:pt idx="8">
                  <c:v>0.89292199999999999</c:v>
                </c:pt>
                <c:pt idx="9">
                  <c:v>0.89292199999999999</c:v>
                </c:pt>
                <c:pt idx="10">
                  <c:v>0.99863100000000005</c:v>
                </c:pt>
                <c:pt idx="11">
                  <c:v>0.99863000000000002</c:v>
                </c:pt>
                <c:pt idx="12">
                  <c:v>0.99863000000000002</c:v>
                </c:pt>
                <c:pt idx="13">
                  <c:v>0.99863000000000002</c:v>
                </c:pt>
                <c:pt idx="14">
                  <c:v>0.99863000000000002</c:v>
                </c:pt>
                <c:pt idx="15">
                  <c:v>0.57408000000000003</c:v>
                </c:pt>
                <c:pt idx="16">
                  <c:v>0.54118900000000003</c:v>
                </c:pt>
                <c:pt idx="17">
                  <c:v>0.49755899999999997</c:v>
                </c:pt>
                <c:pt idx="18">
                  <c:v>0.46477600000000002</c:v>
                </c:pt>
                <c:pt idx="19">
                  <c:v>0.46161200000000002</c:v>
                </c:pt>
                <c:pt idx="20">
                  <c:v>3.0449E-2</c:v>
                </c:pt>
                <c:pt idx="21">
                  <c:v>2.4802999999999999E-2</c:v>
                </c:pt>
                <c:pt idx="22">
                  <c:v>2.4129000000000001E-2</c:v>
                </c:pt>
                <c:pt idx="23">
                  <c:v>2.4129000000000001E-2</c:v>
                </c:pt>
                <c:pt idx="24">
                  <c:v>2.4129000000000001E-2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4-4739-A397-9425F7D7B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515280"/>
        <c:axId val="568516264"/>
      </c:barChart>
      <c:catAx>
        <c:axId val="5685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6264"/>
        <c:crosses val="autoZero"/>
        <c:auto val="1"/>
        <c:lblAlgn val="ctr"/>
        <c:lblOffset val="100"/>
        <c:noMultiLvlLbl val="0"/>
      </c:catAx>
      <c:valAx>
        <c:axId val="5685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system.l2</a:t>
                </a:r>
                <a:r>
                  <a:rPr lang="en-US" baseline="0"/>
                  <a:t> miss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56851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76C243-1BDE-440E-BD58-87A5AB9E6F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D0601A-13FF-48BA-9A3E-044416C71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DCB262-32A2-4305-A715-8FDC43CB9F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7310BC-0D65-4AD2-B781-96F4AEF08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285749</xdr:colOff>
      <xdr:row>2</xdr:row>
      <xdr:rowOff>23812</xdr:rowOff>
    </xdr:from>
    <xdr:to>
      <xdr:col>28</xdr:col>
      <xdr:colOff>149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6C363F-2475-479F-8D47-C91AF0B6C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0.7274</cdr:x>
      <cdr:y>0.15705</cdr:y>
    </cdr:from>
    <cdr:to>
      <cdr:x>0.91903</cdr:x>
      <cdr:y>0.26711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3D98E7-B394-4A42-AE60-A72DD33856D5}"/>
            </a:ext>
          </a:extLst>
        </cdr:cNvPr>
        <cdr:cNvSpPr txBox="1"/>
      </cdr:nvSpPr>
      <cdr:spPr>
        <a:xfrm xmlns:a="http://schemas.openxmlformats.org/drawingml/2006/main">
          <a:off x="5133975" y="557213"/>
          <a:ext cx="135255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0.02429</cdr:x>
      <cdr:y>0.88993</cdr:y>
    </cdr:from>
    <cdr:to>
      <cdr:x>0.18084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4FAB51C-BF46-40C1-8050-FF5AAF7F3B59}"/>
            </a:ext>
          </a:extLst>
        </cdr:cNvPr>
        <cdr:cNvSpPr txBox="1"/>
      </cdr:nvSpPr>
      <cdr:spPr>
        <a:xfrm xmlns:a="http://schemas.openxmlformats.org/drawingml/2006/main">
          <a:off x="171450" y="3157539"/>
          <a:ext cx="110490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70A939-5F26-409D-8035-0F51419F1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0.7274</cdr:x>
      <cdr:y>0.15705</cdr:y>
    </cdr:from>
    <cdr:to>
      <cdr:x>0.91903</cdr:x>
      <cdr:y>0.26711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3D98E7-B394-4A42-AE60-A72DD33856D5}"/>
            </a:ext>
          </a:extLst>
        </cdr:cNvPr>
        <cdr:cNvSpPr txBox="1"/>
      </cdr:nvSpPr>
      <cdr:spPr>
        <a:xfrm xmlns:a="http://schemas.openxmlformats.org/drawingml/2006/main">
          <a:off x="5133975" y="557213"/>
          <a:ext cx="135255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0.02429</cdr:x>
      <cdr:y>0.88993</cdr:y>
    </cdr:from>
    <cdr:to>
      <cdr:x>0.18084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4FAB51C-BF46-40C1-8050-FF5AAF7F3B59}"/>
            </a:ext>
          </a:extLst>
        </cdr:cNvPr>
        <cdr:cNvSpPr txBox="1"/>
      </cdr:nvSpPr>
      <cdr:spPr>
        <a:xfrm xmlns:a="http://schemas.openxmlformats.org/drawingml/2006/main">
          <a:off x="171450" y="3157539"/>
          <a:ext cx="110490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18</xdr:col>
      <xdr:colOff>162075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4D668-A06F-402E-851B-2E9E7F3E7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0.7274</cdr:x>
      <cdr:y>0.15705</cdr:y>
    </cdr:from>
    <cdr:to>
      <cdr:x>0.91903</cdr:x>
      <cdr:y>0.26711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3D98E7-B394-4A42-AE60-A72DD33856D5}"/>
            </a:ext>
          </a:extLst>
        </cdr:cNvPr>
        <cdr:cNvSpPr txBox="1"/>
      </cdr:nvSpPr>
      <cdr:spPr>
        <a:xfrm xmlns:a="http://schemas.openxmlformats.org/drawingml/2006/main">
          <a:off x="5133975" y="557213"/>
          <a:ext cx="135255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0.02429</cdr:x>
      <cdr:y>0.88993</cdr:y>
    </cdr:from>
    <cdr:to>
      <cdr:x>0.18084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4FAB51C-BF46-40C1-8050-FF5AAF7F3B59}"/>
            </a:ext>
          </a:extLst>
        </cdr:cNvPr>
        <cdr:cNvSpPr txBox="1"/>
      </cdr:nvSpPr>
      <cdr:spPr>
        <a:xfrm xmlns:a="http://schemas.openxmlformats.org/drawingml/2006/main">
          <a:off x="171450" y="3157539"/>
          <a:ext cx="110490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18</xdr:col>
      <xdr:colOff>162075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439C78-0718-4391-8FD2-993F75F9D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0.79907</cdr:x>
      <cdr:y>0.13557</cdr:y>
    </cdr:from>
    <cdr:to>
      <cdr:x>0.90977</cdr:x>
      <cdr:y>0.24563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3D98E7-B394-4A42-AE60-A72DD33856D5}"/>
            </a:ext>
          </a:extLst>
        </cdr:cNvPr>
        <cdr:cNvSpPr txBox="1"/>
      </cdr:nvSpPr>
      <cdr:spPr>
        <a:xfrm xmlns:a="http://schemas.openxmlformats.org/drawingml/2006/main">
          <a:off x="9026917" y="481023"/>
          <a:ext cx="1250558" cy="3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0.02429</cdr:x>
      <cdr:y>0.88993</cdr:y>
    </cdr:from>
    <cdr:to>
      <cdr:x>0.18084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4FAB51C-BF46-40C1-8050-FF5AAF7F3B59}"/>
            </a:ext>
          </a:extLst>
        </cdr:cNvPr>
        <cdr:cNvSpPr txBox="1"/>
      </cdr:nvSpPr>
      <cdr:spPr>
        <a:xfrm xmlns:a="http://schemas.openxmlformats.org/drawingml/2006/main">
          <a:off x="171450" y="3157539"/>
          <a:ext cx="110490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</a:t>
          </a:r>
          <a:r>
            <a:rPr lang="el-GR" sz="1100"/>
            <a:t>1</a:t>
          </a:r>
          <a:r>
            <a:rPr lang="en-US" sz="1100"/>
            <a:t> Instr.Size [kB]</a:t>
          </a:r>
          <a:endParaRPr lang="el-GR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D00C60-2C77-490F-8A61-7E007D1A1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1238EA-4C9E-4C3A-8ACA-B84F4210B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48F120-5CB2-4917-B620-580E85AE8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132AE9-AE64-42F8-9BFA-3BEE24B11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1F7A09-A029-4868-8F17-C80F3B606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5D49D-9A48-469B-BA2C-D56AD552B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D0ED04-5D08-41CA-9B7B-2D82B23FD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9A9E81-E104-46FD-AEA0-77B583AB5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C68831-C79A-40BD-8E76-296BB316D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495F19-2A58-4DA2-BE4B-9D640715B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7C6E54-4580-4C5E-8E91-9EA15E8ED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546E24-C171-4E0E-A628-0B7EB5696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8950E0-BA17-4DC0-A041-0214B0077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0E49BE-1488-43AE-AFD8-21140B2AED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67E885-DF66-4161-9F11-918EEC6D4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2</xdr:row>
      <xdr:rowOff>23812</xdr:rowOff>
    </xdr:from>
    <xdr:to>
      <xdr:col>21</xdr:col>
      <xdr:colOff>28575</xdr:colOff>
      <xdr:row>20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50A835-5B33-4628-A905-CDA7013D7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D" refreshedDate="43817.131682175925" createdVersion="6" refreshedVersion="6" minRefreshableVersion="3" recordCount="170" xr:uid="{60C387EB-3F2E-447A-A29F-030B62C882C9}">
  <cacheSource type="worksheet">
    <worksheetSource ref="A1:O171" sheet="data"/>
  </cacheSource>
  <cacheFields count="15">
    <cacheField name="Benchmarks" numFmtId="0">
      <sharedItems/>
    </cacheField>
    <cacheField name="system.cpu.cpi" numFmtId="0">
      <sharedItems containsSemiMixedTypes="0" containsString="0" containsNumber="1" minValue="1.0883020000000001" maxValue="11.660412000000001"/>
    </cacheField>
    <cacheField name="system.cpu.dcache.overall_miss_rate::total" numFmtId="0">
      <sharedItems containsSemiMixedTypes="0" containsString="0" containsNumber="1" minValue="1.493E-3" maxValue="0.243703"/>
    </cacheField>
    <cacheField name="system.cpu.icache.overall_miss_rate::total" numFmtId="0">
      <sharedItems containsSemiMixedTypes="0" containsString="0" containsNumber="1" minValue="1.4E-5" maxValue="0.10876"/>
    </cacheField>
    <cacheField name="system.l2.overall_miss_rate::total" numFmtId="0">
      <sharedItems containsSemiMixedTypes="0" containsString="0" containsNumber="1" minValue="1.3793E-2" maxValue="0.999973"/>
    </cacheField>
    <cacheField name="Benchmark" numFmtId="0">
      <sharedItems count="5">
        <s v="specbzip"/>
        <s v="spechmmer"/>
        <s v="speclibm"/>
        <s v="specmcf"/>
        <s v="specsjeng"/>
      </sharedItems>
    </cacheField>
    <cacheField name="Scenario" numFmtId="0">
      <sharedItems count="7">
        <s v="Cache Line"/>
        <s v="CPU Frequency"/>
        <s v="L1D/L1I Size"/>
        <s v="L1D Associativity"/>
        <s v="L1I Associativity"/>
        <s v="L2D Associativity"/>
        <s v="L2 Size"/>
      </sharedItems>
    </cacheField>
    <cacheField name="Cache line" numFmtId="0">
      <sharedItems containsSemiMixedTypes="0" containsString="0" containsNumber="1" containsInteger="1" minValue="32" maxValue="128" count="3">
        <n v="128"/>
        <n v="32"/>
        <n v="64"/>
      </sharedItems>
    </cacheField>
    <cacheField name="Frequency [GHz]" numFmtId="0">
      <sharedItems containsSemiMixedTypes="0" containsString="0" containsNumber="1" containsInteger="1" minValue="1" maxValue="1"/>
    </cacheField>
    <cacheField name="L1 Data Size [kB]" numFmtId="0">
      <sharedItems containsSemiMixedTypes="0" containsString="0" containsNumber="1" containsInteger="1" minValue="16" maxValue="128" count="4">
        <n v="32"/>
        <n v="128"/>
        <n v="16"/>
        <n v="64"/>
      </sharedItems>
    </cacheField>
    <cacheField name="L1 Instr Size [kB]" numFmtId="0">
      <sharedItems containsSemiMixedTypes="0" containsString="0" containsNumber="1" containsInteger="1" minValue="16" maxValue="128" count="4">
        <n v="32"/>
        <n v="128"/>
        <n v="16"/>
        <n v="64"/>
      </sharedItems>
    </cacheField>
    <cacheField name="L1 Data Assoc" numFmtId="0">
      <sharedItems containsSemiMixedTypes="0" containsString="0" containsNumber="1" containsInteger="1" minValue="1" maxValue="4" count="3">
        <n v="1"/>
        <n v="2"/>
        <n v="4"/>
      </sharedItems>
    </cacheField>
    <cacheField name="L1 Instr Assoc" numFmtId="0">
      <sharedItems containsSemiMixedTypes="0" containsString="0" containsNumber="1" containsInteger="1" minValue="1" maxValue="4" count="3">
        <n v="1"/>
        <n v="2"/>
        <n v="4"/>
      </sharedItems>
    </cacheField>
    <cacheField name="L2 Data Assoc" numFmtId="0">
      <sharedItems containsSemiMixedTypes="0" containsString="0" containsNumber="1" containsInteger="1" minValue="1" maxValue="4" count="3">
        <n v="2"/>
        <n v="1"/>
        <n v="4"/>
      </sharedItems>
    </cacheField>
    <cacheField name="L2 Size [kB]" numFmtId="0">
      <sharedItems containsSemiMixedTypes="0" containsString="0" containsNumber="1" containsInteger="1" minValue="256" maxValue="4096" count="5">
        <n v="512"/>
        <n v="1024"/>
        <n v="256"/>
        <n v="2048"/>
        <n v="409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s v="./specbzip/cacheline.128"/>
    <n v="1.7309239999999999"/>
    <n v="2.1791000000000001E-2"/>
    <n v="6.0999999999999999E-5"/>
    <n v="0.196655"/>
    <x v="0"/>
    <x v="0"/>
    <x v="0"/>
    <n v="1"/>
    <x v="0"/>
    <x v="0"/>
    <x v="0"/>
    <x v="0"/>
    <x v="0"/>
    <x v="0"/>
  </r>
  <r>
    <s v="./specbzip/cacheline.32"/>
    <n v="1.8363659999999999"/>
    <n v="2.3845999999999999E-2"/>
    <n v="9.0000000000000006E-5"/>
    <n v="0.39927699999999999"/>
    <x v="0"/>
    <x v="0"/>
    <x v="1"/>
    <n v="1"/>
    <x v="0"/>
    <x v="0"/>
    <x v="0"/>
    <x v="0"/>
    <x v="0"/>
    <x v="0"/>
  </r>
  <r>
    <s v="./specbzip/cacheline.64"/>
    <n v="1.727746"/>
    <n v="2.1398E-2"/>
    <n v="7.6000000000000004E-5"/>
    <n v="0.27181100000000002"/>
    <x v="0"/>
    <x v="0"/>
    <x v="2"/>
    <n v="1"/>
    <x v="0"/>
    <x v="0"/>
    <x v="0"/>
    <x v="0"/>
    <x v="0"/>
    <x v="0"/>
  </r>
  <r>
    <s v="./specbzip/cpu_clock.1GHz"/>
    <n v="1.727746"/>
    <n v="2.1398E-2"/>
    <n v="7.6000000000000004E-5"/>
    <n v="0.27181100000000002"/>
    <x v="0"/>
    <x v="1"/>
    <x v="2"/>
    <n v="1"/>
    <x v="0"/>
    <x v="0"/>
    <x v="0"/>
    <x v="0"/>
    <x v="0"/>
    <x v="0"/>
  </r>
  <r>
    <s v="./specbzip/l1d.128kB_l1i.128kB"/>
    <n v="1.6570780000000001"/>
    <n v="1.4063000000000001E-2"/>
    <n v="7.2000000000000002E-5"/>
    <n v="0.42174299999999998"/>
    <x v="0"/>
    <x v="2"/>
    <x v="2"/>
    <n v="1"/>
    <x v="1"/>
    <x v="1"/>
    <x v="0"/>
    <x v="0"/>
    <x v="0"/>
    <x v="0"/>
  </r>
  <r>
    <s v="./specbzip/l1d.128kB_l1i.16kB"/>
    <n v="1.657357"/>
    <n v="1.4061000000000001E-2"/>
    <n v="2.5399999999999999E-4"/>
    <n v="0.420709"/>
    <x v="0"/>
    <x v="2"/>
    <x v="2"/>
    <n v="1"/>
    <x v="1"/>
    <x v="2"/>
    <x v="0"/>
    <x v="0"/>
    <x v="0"/>
    <x v="0"/>
  </r>
  <r>
    <s v="./specbzip/l1d.128kB_l1i.32kB"/>
    <n v="1.6571560000000001"/>
    <n v="1.4063000000000001E-2"/>
    <n v="8.6000000000000003E-5"/>
    <n v="0.42169699999999999"/>
    <x v="0"/>
    <x v="2"/>
    <x v="2"/>
    <n v="1"/>
    <x v="1"/>
    <x v="0"/>
    <x v="0"/>
    <x v="0"/>
    <x v="0"/>
    <x v="0"/>
  </r>
  <r>
    <s v="./specbzip/l1d.128kB_l1i.64kB"/>
    <n v="1.6570780000000001"/>
    <n v="1.4061000000000001E-2"/>
    <n v="7.6000000000000004E-5"/>
    <n v="0.421736"/>
    <x v="0"/>
    <x v="2"/>
    <x v="2"/>
    <n v="1"/>
    <x v="1"/>
    <x v="3"/>
    <x v="0"/>
    <x v="0"/>
    <x v="0"/>
    <x v="0"/>
  </r>
  <r>
    <s v="./specbzip/l1d.16kB_l1i.128kB"/>
    <n v="1.7735300000000001"/>
    <n v="2.6154E-2"/>
    <n v="7.2000000000000002E-5"/>
    <n v="0.22145599999999999"/>
    <x v="0"/>
    <x v="2"/>
    <x v="2"/>
    <n v="1"/>
    <x v="2"/>
    <x v="1"/>
    <x v="0"/>
    <x v="0"/>
    <x v="0"/>
    <x v="0"/>
  </r>
  <r>
    <s v="./specbzip/l1d.16kB_l1i.16kB"/>
    <n v="1.7737810000000001"/>
    <n v="2.6152000000000002E-2"/>
    <n v="2.5999999999999998E-4"/>
    <n v="0.221191"/>
    <x v="0"/>
    <x v="2"/>
    <x v="2"/>
    <n v="1"/>
    <x v="2"/>
    <x v="2"/>
    <x v="0"/>
    <x v="0"/>
    <x v="0"/>
    <x v="0"/>
  </r>
  <r>
    <s v="./specbzip/l1d.16kB_l1i.32kB"/>
    <n v="1.7736080000000001"/>
    <n v="2.6154E-2"/>
    <n v="8.6000000000000003E-5"/>
    <n v="0.22145300000000001"/>
    <x v="0"/>
    <x v="2"/>
    <x v="2"/>
    <n v="1"/>
    <x v="2"/>
    <x v="0"/>
    <x v="0"/>
    <x v="0"/>
    <x v="0"/>
    <x v="0"/>
  </r>
  <r>
    <s v="./specbzip/l1d.16kB_l1i.64kB"/>
    <n v="1.7736149999999999"/>
    <n v="2.6152999999999999E-2"/>
    <n v="7.6000000000000004E-5"/>
    <n v="0.22145599999999999"/>
    <x v="0"/>
    <x v="2"/>
    <x v="2"/>
    <n v="1"/>
    <x v="2"/>
    <x v="3"/>
    <x v="0"/>
    <x v="0"/>
    <x v="0"/>
    <x v="0"/>
  </r>
  <r>
    <s v="./specbzip/l1d.32kB_l1i.128kB"/>
    <n v="1.727746"/>
    <n v="2.1398E-2"/>
    <n v="7.2000000000000002E-5"/>
    <n v="0.271812"/>
    <x v="0"/>
    <x v="2"/>
    <x v="2"/>
    <n v="1"/>
    <x v="0"/>
    <x v="1"/>
    <x v="0"/>
    <x v="0"/>
    <x v="0"/>
    <x v="0"/>
  </r>
  <r>
    <s v="./specbzip/l1d.32kB_l1i.16kB"/>
    <n v="1.72793"/>
    <n v="2.1395999999999998E-2"/>
    <n v="2.5399999999999999E-4"/>
    <n v="0.27140900000000001"/>
    <x v="0"/>
    <x v="2"/>
    <x v="2"/>
    <n v="1"/>
    <x v="0"/>
    <x v="2"/>
    <x v="0"/>
    <x v="0"/>
    <x v="0"/>
    <x v="0"/>
  </r>
  <r>
    <s v="./specbzip/l1d.32kB_l1i.32kB"/>
    <n v="1.7277739999999999"/>
    <n v="2.1398E-2"/>
    <n v="8.6000000000000003E-5"/>
    <n v="0.27180100000000001"/>
    <x v="0"/>
    <x v="2"/>
    <x v="2"/>
    <n v="1"/>
    <x v="0"/>
    <x v="0"/>
    <x v="0"/>
    <x v="0"/>
    <x v="0"/>
    <x v="0"/>
  </r>
  <r>
    <s v="./specbzip/l1d.32kB_l1i.64kB"/>
    <n v="1.727746"/>
    <n v="2.1398E-2"/>
    <n v="7.6000000000000004E-5"/>
    <n v="0.27181100000000002"/>
    <x v="0"/>
    <x v="2"/>
    <x v="2"/>
    <n v="1"/>
    <x v="0"/>
    <x v="3"/>
    <x v="0"/>
    <x v="0"/>
    <x v="0"/>
    <x v="0"/>
  </r>
  <r>
    <s v="./specbzip/l1d.64kB_l1i.128kB"/>
    <n v="1.693686"/>
    <n v="1.7753999999999999E-2"/>
    <n v="7.2000000000000002E-5"/>
    <n v="0.32970300000000002"/>
    <x v="0"/>
    <x v="2"/>
    <x v="2"/>
    <n v="1"/>
    <x v="3"/>
    <x v="1"/>
    <x v="0"/>
    <x v="0"/>
    <x v="0"/>
    <x v="0"/>
  </r>
  <r>
    <s v="./specbzip/l1d.64kB_l1i.16kB"/>
    <n v="1.693845"/>
    <n v="1.7753999999999999E-2"/>
    <n v="2.5399999999999999E-4"/>
    <n v="0.32909899999999997"/>
    <x v="0"/>
    <x v="2"/>
    <x v="2"/>
    <n v="1"/>
    <x v="3"/>
    <x v="2"/>
    <x v="0"/>
    <x v="0"/>
    <x v="0"/>
    <x v="0"/>
  </r>
  <r>
    <s v="./specbzip/l1d.64kB_l1i.32kB"/>
    <n v="1.693587"/>
    <n v="1.7753999999999999E-2"/>
    <n v="8.6000000000000003E-5"/>
    <n v="0.329683"/>
    <x v="0"/>
    <x v="2"/>
    <x v="2"/>
    <n v="1"/>
    <x v="3"/>
    <x v="0"/>
    <x v="0"/>
    <x v="0"/>
    <x v="0"/>
    <x v="0"/>
  </r>
  <r>
    <s v="./specbzip/l1d.64kB_l1i.64kB"/>
    <n v="1.693686"/>
    <n v="1.7753999999999999E-2"/>
    <n v="7.6000000000000004E-5"/>
    <n v="0.329702"/>
    <x v="0"/>
    <x v="2"/>
    <x v="2"/>
    <n v="1"/>
    <x v="3"/>
    <x v="3"/>
    <x v="0"/>
    <x v="0"/>
    <x v="0"/>
    <x v="0"/>
  </r>
  <r>
    <s v="./specbzip/l1d_assoc.1"/>
    <n v="1.727746"/>
    <n v="2.1398E-2"/>
    <n v="7.6000000000000004E-5"/>
    <n v="0.27181100000000002"/>
    <x v="0"/>
    <x v="3"/>
    <x v="2"/>
    <n v="1"/>
    <x v="0"/>
    <x v="0"/>
    <x v="0"/>
    <x v="0"/>
    <x v="0"/>
    <x v="0"/>
  </r>
  <r>
    <s v="./specbzip/l1d_assoc.2"/>
    <n v="1.688318"/>
    <n v="1.7826000000000002E-2"/>
    <n v="7.6000000000000004E-5"/>
    <n v="0.32708500000000001"/>
    <x v="0"/>
    <x v="3"/>
    <x v="2"/>
    <n v="1"/>
    <x v="0"/>
    <x v="0"/>
    <x v="1"/>
    <x v="0"/>
    <x v="0"/>
    <x v="0"/>
  </r>
  <r>
    <s v="./specbzip/l1d_assoc.4"/>
    <n v="1.67506"/>
    <n v="1.6514999999999998E-2"/>
    <n v="7.6000000000000004E-5"/>
    <n v="0.35416300000000001"/>
    <x v="0"/>
    <x v="3"/>
    <x v="2"/>
    <n v="1"/>
    <x v="0"/>
    <x v="0"/>
    <x v="2"/>
    <x v="0"/>
    <x v="0"/>
    <x v="0"/>
  </r>
  <r>
    <s v="./specbzip/l1i_assoc.1"/>
    <n v="1.727746"/>
    <n v="2.1398E-2"/>
    <n v="7.6000000000000004E-5"/>
    <n v="0.27181100000000002"/>
    <x v="0"/>
    <x v="4"/>
    <x v="2"/>
    <n v="1"/>
    <x v="0"/>
    <x v="0"/>
    <x v="0"/>
    <x v="0"/>
    <x v="0"/>
    <x v="0"/>
  </r>
  <r>
    <s v="./specbzip/l1i_assoc.2"/>
    <n v="1.7276959999999999"/>
    <n v="2.1395999999999998E-2"/>
    <n v="6.9999999999999994E-5"/>
    <n v="0.27180599999999999"/>
    <x v="0"/>
    <x v="4"/>
    <x v="2"/>
    <n v="1"/>
    <x v="0"/>
    <x v="0"/>
    <x v="0"/>
    <x v="1"/>
    <x v="0"/>
    <x v="0"/>
  </r>
  <r>
    <s v="./specbzip/l1i_assoc.4"/>
    <n v="1.7277910000000001"/>
    <n v="2.1396999999999999E-2"/>
    <n v="6.7000000000000002E-5"/>
    <n v="0.27181300000000003"/>
    <x v="0"/>
    <x v="4"/>
    <x v="2"/>
    <n v="1"/>
    <x v="0"/>
    <x v="0"/>
    <x v="0"/>
    <x v="2"/>
    <x v="0"/>
    <x v="0"/>
  </r>
  <r>
    <s v="./specbzip/l2d_assoc.1"/>
    <n v="1.7450319999999999"/>
    <n v="2.1366E-2"/>
    <n v="7.6000000000000004E-5"/>
    <n v="0.30058699999999999"/>
    <x v="0"/>
    <x v="5"/>
    <x v="2"/>
    <n v="1"/>
    <x v="0"/>
    <x v="0"/>
    <x v="0"/>
    <x v="0"/>
    <x v="1"/>
    <x v="0"/>
  </r>
  <r>
    <s v="./specbzip/l2d_assoc.2"/>
    <n v="1.727746"/>
    <n v="2.1398E-2"/>
    <n v="7.6000000000000004E-5"/>
    <n v="0.27181100000000002"/>
    <x v="0"/>
    <x v="5"/>
    <x v="2"/>
    <n v="1"/>
    <x v="0"/>
    <x v="0"/>
    <x v="0"/>
    <x v="0"/>
    <x v="0"/>
    <x v="0"/>
  </r>
  <r>
    <s v="./specbzip/l2d_assoc.4"/>
    <n v="1.726159"/>
    <n v="2.1398E-2"/>
    <n v="7.6000000000000004E-5"/>
    <n v="0.26552999999999999"/>
    <x v="0"/>
    <x v="5"/>
    <x v="2"/>
    <n v="1"/>
    <x v="0"/>
    <x v="0"/>
    <x v="0"/>
    <x v="0"/>
    <x v="2"/>
    <x v="0"/>
  </r>
  <r>
    <s v="./specbzip/l2_size.1MB"/>
    <n v="1.7011620000000001"/>
    <n v="2.1405E-2"/>
    <n v="7.6000000000000004E-5"/>
    <n v="0.22436600000000001"/>
    <x v="0"/>
    <x v="6"/>
    <x v="2"/>
    <n v="1"/>
    <x v="0"/>
    <x v="0"/>
    <x v="0"/>
    <x v="0"/>
    <x v="0"/>
    <x v="1"/>
  </r>
  <r>
    <s v="./specbzip/l2_size.256kB"/>
    <n v="1.782824"/>
    <n v="2.138E-2"/>
    <n v="7.6000000000000004E-5"/>
    <n v="0.35717199999999999"/>
    <x v="0"/>
    <x v="6"/>
    <x v="2"/>
    <n v="1"/>
    <x v="0"/>
    <x v="0"/>
    <x v="0"/>
    <x v="0"/>
    <x v="0"/>
    <x v="2"/>
  </r>
  <r>
    <s v="./specbzip/l2_size.2MB"/>
    <n v="1.6845969999999999"/>
    <n v="2.1402999999999998E-2"/>
    <n v="7.6000000000000004E-5"/>
    <n v="0.19744400000000001"/>
    <x v="0"/>
    <x v="6"/>
    <x v="2"/>
    <n v="1"/>
    <x v="0"/>
    <x v="0"/>
    <x v="0"/>
    <x v="0"/>
    <x v="0"/>
    <x v="3"/>
  </r>
  <r>
    <s v="./specbzip/l2_size.4MB"/>
    <n v="1.6668179999999999"/>
    <n v="2.1402999999999998E-2"/>
    <n v="7.6000000000000004E-5"/>
    <n v="0.170211"/>
    <x v="0"/>
    <x v="6"/>
    <x v="2"/>
    <n v="1"/>
    <x v="0"/>
    <x v="0"/>
    <x v="0"/>
    <x v="0"/>
    <x v="0"/>
    <x v="4"/>
  </r>
  <r>
    <s v="./specbzip/l2_size.512kB"/>
    <n v="1.727746"/>
    <n v="2.1398E-2"/>
    <n v="7.6000000000000004E-5"/>
    <n v="0.27181100000000002"/>
    <x v="0"/>
    <x v="6"/>
    <x v="2"/>
    <n v="1"/>
    <x v="0"/>
    <x v="0"/>
    <x v="0"/>
    <x v="0"/>
    <x v="0"/>
    <x v="0"/>
  </r>
  <r>
    <s v="./spechmmer/cacheline.128"/>
    <n v="3.7784900000000001"/>
    <n v="3.8850000000000003E-2"/>
    <n v="5.8011E-2"/>
    <n v="0.85604100000000005"/>
    <x v="1"/>
    <x v="0"/>
    <x v="0"/>
    <n v="1"/>
    <x v="0"/>
    <x v="0"/>
    <x v="0"/>
    <x v="0"/>
    <x v="0"/>
    <x v="0"/>
  </r>
  <r>
    <s v="./spechmmer/cacheline.32"/>
    <n v="6.2138"/>
    <n v="7.7135999999999996E-2"/>
    <n v="0.10876"/>
    <n v="0.94686000000000003"/>
    <x v="1"/>
    <x v="0"/>
    <x v="1"/>
    <n v="1"/>
    <x v="0"/>
    <x v="0"/>
    <x v="0"/>
    <x v="0"/>
    <x v="0"/>
    <x v="0"/>
  </r>
  <r>
    <s v="./spechmmer/cacheline.64"/>
    <n v="4.5237769999999999"/>
    <n v="5.4128999999999997E-2"/>
    <n v="7.7973000000000001E-2"/>
    <n v="0.89292199999999999"/>
    <x v="1"/>
    <x v="0"/>
    <x v="2"/>
    <n v="1"/>
    <x v="0"/>
    <x v="0"/>
    <x v="0"/>
    <x v="0"/>
    <x v="0"/>
    <x v="0"/>
  </r>
  <r>
    <s v="./spechmmer/cpu_clock.1GHz"/>
    <n v="4.5237769999999999"/>
    <n v="5.4128999999999997E-2"/>
    <n v="7.7973000000000001E-2"/>
    <n v="0.89292199999999999"/>
    <x v="1"/>
    <x v="1"/>
    <x v="2"/>
    <n v="1"/>
    <x v="0"/>
    <x v="0"/>
    <x v="0"/>
    <x v="0"/>
    <x v="0"/>
    <x v="0"/>
  </r>
  <r>
    <s v="./spechmmer/l1d.128kB_l1i.128kB"/>
    <n v="4.4505759999999999"/>
    <n v="4.4306999999999999E-2"/>
    <n v="7.7877000000000002E-2"/>
    <n v="0.95719799999999999"/>
    <x v="1"/>
    <x v="2"/>
    <x v="2"/>
    <n v="1"/>
    <x v="1"/>
    <x v="1"/>
    <x v="0"/>
    <x v="0"/>
    <x v="0"/>
    <x v="0"/>
  </r>
  <r>
    <s v="./spechmmer/l1d.128kB_l1i.16kB"/>
    <n v="4.5746890000000002"/>
    <n v="4.4297000000000003E-2"/>
    <n v="9.2743000000000006E-2"/>
    <n v="0.84974099999999997"/>
    <x v="1"/>
    <x v="2"/>
    <x v="2"/>
    <n v="1"/>
    <x v="1"/>
    <x v="2"/>
    <x v="0"/>
    <x v="0"/>
    <x v="0"/>
    <x v="0"/>
  </r>
  <r>
    <s v="./spechmmer/l1d.128kB_l1i.32kB"/>
    <n v="4.4837040000000004"/>
    <n v="4.4316000000000001E-2"/>
    <n v="8.2461000000000007E-2"/>
    <n v="0.92134799999999994"/>
    <x v="1"/>
    <x v="2"/>
    <x v="2"/>
    <n v="1"/>
    <x v="1"/>
    <x v="0"/>
    <x v="0"/>
    <x v="0"/>
    <x v="0"/>
    <x v="0"/>
  </r>
  <r>
    <s v="./spechmmer/l1d.128kB_l1i.64kB"/>
    <n v="4.4505759999999999"/>
    <n v="4.4306999999999999E-2"/>
    <n v="7.8312000000000007E-2"/>
    <n v="0.953488"/>
    <x v="1"/>
    <x v="2"/>
    <x v="2"/>
    <n v="1"/>
    <x v="1"/>
    <x v="3"/>
    <x v="0"/>
    <x v="0"/>
    <x v="0"/>
    <x v="0"/>
  </r>
  <r>
    <s v="./spechmmer/l1d.16kB_l1i.128kB"/>
    <n v="4.5840009999999998"/>
    <n v="6.1377000000000001E-2"/>
    <n v="7.7204999999999996E-2"/>
    <n v="0.84681600000000001"/>
    <x v="1"/>
    <x v="2"/>
    <x v="2"/>
    <n v="1"/>
    <x v="2"/>
    <x v="1"/>
    <x v="0"/>
    <x v="0"/>
    <x v="0"/>
    <x v="0"/>
  </r>
  <r>
    <s v="./spechmmer/l1d.16kB_l1i.16kB"/>
    <n v="4.645905"/>
    <n v="6.1364000000000002E-2"/>
    <n v="9.2370999999999995E-2"/>
    <n v="0.75925900000000002"/>
    <x v="1"/>
    <x v="2"/>
    <x v="2"/>
    <n v="1"/>
    <x v="2"/>
    <x v="2"/>
    <x v="0"/>
    <x v="0"/>
    <x v="0"/>
    <x v="0"/>
  </r>
  <r>
    <s v="./spechmmer/l1d.16kB_l1i.32kB"/>
    <n v="4.6223190000000001"/>
    <n v="6.139E-2"/>
    <n v="8.1946000000000005E-2"/>
    <n v="0.817276"/>
    <x v="1"/>
    <x v="2"/>
    <x v="2"/>
    <n v="1"/>
    <x v="2"/>
    <x v="0"/>
    <x v="0"/>
    <x v="0"/>
    <x v="0"/>
    <x v="0"/>
  </r>
  <r>
    <s v="./spechmmer/l1d.16kB_l1i.64kB"/>
    <n v="4.585833"/>
    <n v="6.1377000000000001E-2"/>
    <n v="7.7635999999999997E-2"/>
    <n v="0.84391099999999997"/>
    <x v="1"/>
    <x v="2"/>
    <x v="2"/>
    <n v="1"/>
    <x v="2"/>
    <x v="3"/>
    <x v="0"/>
    <x v="0"/>
    <x v="0"/>
    <x v="0"/>
  </r>
  <r>
    <s v="./spechmmer/l1d.32kB_l1i.128kB"/>
    <n v="4.5163729999999997"/>
    <n v="5.4128999999999997E-2"/>
    <n v="7.7539999999999998E-2"/>
    <n v="0.89617500000000005"/>
    <x v="1"/>
    <x v="2"/>
    <x v="2"/>
    <n v="1"/>
    <x v="0"/>
    <x v="1"/>
    <x v="0"/>
    <x v="0"/>
    <x v="0"/>
    <x v="0"/>
  </r>
  <r>
    <s v="./spechmmer/l1d.32kB_l1i.16kB"/>
    <n v="4.633845"/>
    <n v="5.4117999999999999E-2"/>
    <n v="9.2795000000000002E-2"/>
    <n v="0.79870099999999999"/>
    <x v="1"/>
    <x v="2"/>
    <x v="2"/>
    <n v="1"/>
    <x v="0"/>
    <x v="2"/>
    <x v="0"/>
    <x v="0"/>
    <x v="0"/>
    <x v="0"/>
  </r>
  <r>
    <s v="./spechmmer/l1d.32kB_l1i.32kB"/>
    <n v="4.5672090000000001"/>
    <n v="5.4141000000000002E-2"/>
    <n v="8.2102999999999995E-2"/>
    <n v="0.86467499999999997"/>
    <x v="1"/>
    <x v="2"/>
    <x v="2"/>
    <n v="1"/>
    <x v="0"/>
    <x v="0"/>
    <x v="0"/>
    <x v="0"/>
    <x v="0"/>
    <x v="0"/>
  </r>
  <r>
    <s v="./spechmmer/l1d.32kB_l1i.64kB"/>
    <n v="4.5237769999999999"/>
    <n v="5.4128999999999997E-2"/>
    <n v="7.7973000000000001E-2"/>
    <n v="0.89292199999999999"/>
    <x v="1"/>
    <x v="2"/>
    <x v="2"/>
    <n v="1"/>
    <x v="0"/>
    <x v="3"/>
    <x v="0"/>
    <x v="0"/>
    <x v="0"/>
    <x v="0"/>
  </r>
  <r>
    <s v="./spechmmer/l1d.64kB_l1i.128kB"/>
    <n v="4.4505759999999999"/>
    <n v="4.4306999999999999E-2"/>
    <n v="7.7877000000000002E-2"/>
    <n v="0.95719799999999999"/>
    <x v="1"/>
    <x v="2"/>
    <x v="2"/>
    <n v="1"/>
    <x v="3"/>
    <x v="1"/>
    <x v="0"/>
    <x v="0"/>
    <x v="0"/>
    <x v="0"/>
  </r>
  <r>
    <s v="./spechmmer/l1d.64kB_l1i.16kB"/>
    <n v="4.5746890000000002"/>
    <n v="4.4297000000000003E-2"/>
    <n v="9.2743000000000006E-2"/>
    <n v="0.84974099999999997"/>
    <x v="1"/>
    <x v="2"/>
    <x v="2"/>
    <n v="1"/>
    <x v="3"/>
    <x v="2"/>
    <x v="0"/>
    <x v="0"/>
    <x v="0"/>
    <x v="0"/>
  </r>
  <r>
    <s v="./spechmmer/l1d.64kB_l1i.32kB"/>
    <n v="4.4837040000000004"/>
    <n v="4.4316000000000001E-2"/>
    <n v="8.2461000000000007E-2"/>
    <n v="0.92134799999999994"/>
    <x v="1"/>
    <x v="2"/>
    <x v="2"/>
    <n v="1"/>
    <x v="3"/>
    <x v="0"/>
    <x v="0"/>
    <x v="0"/>
    <x v="0"/>
    <x v="0"/>
  </r>
  <r>
    <s v="./spechmmer/l1d.64kB_l1i.64kB"/>
    <n v="4.4505759999999999"/>
    <n v="4.4306999999999999E-2"/>
    <n v="7.8312000000000007E-2"/>
    <n v="0.953488"/>
    <x v="1"/>
    <x v="2"/>
    <x v="2"/>
    <n v="1"/>
    <x v="3"/>
    <x v="3"/>
    <x v="0"/>
    <x v="0"/>
    <x v="0"/>
    <x v="0"/>
  </r>
  <r>
    <s v="./spechmmer/l1d_assoc.1"/>
    <n v="4.5237769999999999"/>
    <n v="5.4128999999999997E-2"/>
    <n v="7.7973000000000001E-2"/>
    <n v="0.89292199999999999"/>
    <x v="1"/>
    <x v="3"/>
    <x v="2"/>
    <n v="1"/>
    <x v="0"/>
    <x v="0"/>
    <x v="0"/>
    <x v="0"/>
    <x v="0"/>
    <x v="0"/>
  </r>
  <r>
    <s v="./spechmmer/l1d_assoc.2"/>
    <n v="4.4505759999999999"/>
    <n v="4.4734999999999997E-2"/>
    <n v="7.8260999999999997E-2"/>
    <n v="0.94980699999999996"/>
    <x v="1"/>
    <x v="3"/>
    <x v="2"/>
    <n v="1"/>
    <x v="0"/>
    <x v="0"/>
    <x v="1"/>
    <x v="0"/>
    <x v="0"/>
    <x v="0"/>
  </r>
  <r>
    <s v="./spechmmer/l1d_assoc.4"/>
    <n v="4.4505759999999999"/>
    <n v="4.4306999999999999E-2"/>
    <n v="7.8312000000000007E-2"/>
    <n v="0.953488"/>
    <x v="1"/>
    <x v="3"/>
    <x v="2"/>
    <n v="1"/>
    <x v="0"/>
    <x v="0"/>
    <x v="2"/>
    <x v="0"/>
    <x v="0"/>
    <x v="0"/>
  </r>
  <r>
    <s v="./spechmmer/l1i_assoc.1"/>
    <n v="4.5237769999999999"/>
    <n v="5.4128999999999997E-2"/>
    <n v="7.7973000000000001E-2"/>
    <n v="0.89292199999999999"/>
    <x v="1"/>
    <x v="4"/>
    <x v="2"/>
    <n v="1"/>
    <x v="0"/>
    <x v="0"/>
    <x v="0"/>
    <x v="0"/>
    <x v="0"/>
    <x v="0"/>
  </r>
  <r>
    <s v="./spechmmer/l1i_assoc.2"/>
    <n v="4.5163729999999997"/>
    <n v="5.4128999999999997E-2"/>
    <n v="7.7306E-2"/>
    <n v="0.89781"/>
    <x v="1"/>
    <x v="4"/>
    <x v="2"/>
    <n v="1"/>
    <x v="0"/>
    <x v="0"/>
    <x v="0"/>
    <x v="1"/>
    <x v="0"/>
    <x v="0"/>
  </r>
  <r>
    <s v="./spechmmer/l1i_assoc.4"/>
    <n v="4.5163729999999997"/>
    <n v="5.4128999999999997E-2"/>
    <n v="7.6622999999999997E-2"/>
    <n v="0.902752"/>
    <x v="1"/>
    <x v="4"/>
    <x v="2"/>
    <n v="1"/>
    <x v="0"/>
    <x v="0"/>
    <x v="0"/>
    <x v="2"/>
    <x v="0"/>
    <x v="0"/>
  </r>
  <r>
    <s v="./spechmmer/l2d_assoc.1"/>
    <n v="4.5237769999999999"/>
    <n v="5.4128999999999997E-2"/>
    <n v="7.7973000000000001E-2"/>
    <n v="0.89292199999999999"/>
    <x v="1"/>
    <x v="5"/>
    <x v="2"/>
    <n v="1"/>
    <x v="0"/>
    <x v="0"/>
    <x v="0"/>
    <x v="0"/>
    <x v="1"/>
    <x v="0"/>
  </r>
  <r>
    <s v="./spechmmer/l2d_assoc.2"/>
    <n v="4.5237769999999999"/>
    <n v="5.4128999999999997E-2"/>
    <n v="7.7973000000000001E-2"/>
    <n v="0.89292199999999999"/>
    <x v="1"/>
    <x v="5"/>
    <x v="2"/>
    <n v="1"/>
    <x v="0"/>
    <x v="0"/>
    <x v="0"/>
    <x v="0"/>
    <x v="0"/>
    <x v="0"/>
  </r>
  <r>
    <s v="./spechmmer/l2d_assoc.4"/>
    <n v="4.5237769999999999"/>
    <n v="5.4128999999999997E-2"/>
    <n v="7.7973000000000001E-2"/>
    <n v="0.89292199999999999"/>
    <x v="1"/>
    <x v="5"/>
    <x v="2"/>
    <n v="1"/>
    <x v="0"/>
    <x v="0"/>
    <x v="0"/>
    <x v="0"/>
    <x v="2"/>
    <x v="0"/>
  </r>
  <r>
    <s v="./spechmmer/l2_size.1M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1"/>
  </r>
  <r>
    <s v="./spechmmer/l2_size.256k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2"/>
  </r>
  <r>
    <s v="./spechmmer/l2_size.2M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3"/>
  </r>
  <r>
    <s v="./spechmmer/l2_size.4M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4"/>
  </r>
  <r>
    <s v="./spechmmer/l2_size.512kB"/>
    <n v="4.5237769999999999"/>
    <n v="5.4128999999999997E-2"/>
    <n v="7.7973000000000001E-2"/>
    <n v="0.89292199999999999"/>
    <x v="1"/>
    <x v="6"/>
    <x v="2"/>
    <n v="1"/>
    <x v="0"/>
    <x v="0"/>
    <x v="0"/>
    <x v="0"/>
    <x v="0"/>
    <x v="0"/>
  </r>
  <r>
    <s v="./speclibm/cacheline.128"/>
    <n v="4.9782080000000004"/>
    <n v="6.1057E-2"/>
    <n v="1.4E-5"/>
    <n v="0.99548099999999995"/>
    <x v="2"/>
    <x v="0"/>
    <x v="0"/>
    <n v="1"/>
    <x v="0"/>
    <x v="0"/>
    <x v="0"/>
    <x v="0"/>
    <x v="0"/>
    <x v="0"/>
  </r>
  <r>
    <s v="./speclibm/cacheline.32"/>
    <n v="11.660412000000001"/>
    <n v="0.243703"/>
    <n v="2.3E-5"/>
    <n v="0.99959699999999996"/>
    <x v="2"/>
    <x v="0"/>
    <x v="1"/>
    <n v="1"/>
    <x v="0"/>
    <x v="0"/>
    <x v="0"/>
    <x v="0"/>
    <x v="0"/>
    <x v="0"/>
  </r>
  <r>
    <s v="./speclibm/cacheline.64"/>
    <n v="7.0422409999999998"/>
    <n v="0.12191200000000001"/>
    <n v="2.0000000000000002E-5"/>
    <n v="0.99863000000000002"/>
    <x v="2"/>
    <x v="0"/>
    <x v="2"/>
    <n v="1"/>
    <x v="0"/>
    <x v="0"/>
    <x v="0"/>
    <x v="0"/>
    <x v="0"/>
    <x v="0"/>
  </r>
  <r>
    <s v="./speclibm/cpu_clock.1GHz"/>
    <n v="7.0422409999999998"/>
    <n v="0.12191200000000001"/>
    <n v="2.0000000000000002E-5"/>
    <n v="0.99863000000000002"/>
    <x v="2"/>
    <x v="1"/>
    <x v="2"/>
    <n v="1"/>
    <x v="0"/>
    <x v="0"/>
    <x v="0"/>
    <x v="0"/>
    <x v="0"/>
    <x v="0"/>
  </r>
  <r>
    <s v="./speclibm/l1d.128kB_l1i.128kB"/>
    <n v="7.0414529999999997"/>
    <n v="0.12184499999999999"/>
    <n v="1.9000000000000001E-5"/>
    <n v="0.99974200000000002"/>
    <x v="2"/>
    <x v="2"/>
    <x v="2"/>
    <n v="1"/>
    <x v="1"/>
    <x v="1"/>
    <x v="0"/>
    <x v="0"/>
    <x v="0"/>
    <x v="0"/>
  </r>
  <r>
    <s v="./speclibm/l1d.128kB_l1i.16kB"/>
    <n v="7.0414880000000002"/>
    <n v="0.12184499999999999"/>
    <n v="2.4000000000000001E-5"/>
    <n v="0.99971299999999996"/>
    <x v="2"/>
    <x v="2"/>
    <x v="2"/>
    <n v="1"/>
    <x v="1"/>
    <x v="2"/>
    <x v="0"/>
    <x v="0"/>
    <x v="0"/>
    <x v="0"/>
  </r>
  <r>
    <s v="./speclibm/l1d.128kB_l1i.32kB"/>
    <n v="7.0415190000000001"/>
    <n v="0.12184499999999999"/>
    <n v="2.0999999999999999E-5"/>
    <n v="0.99973000000000001"/>
    <x v="2"/>
    <x v="2"/>
    <x v="2"/>
    <n v="1"/>
    <x v="1"/>
    <x v="0"/>
    <x v="0"/>
    <x v="0"/>
    <x v="0"/>
    <x v="0"/>
  </r>
  <r>
    <s v="./speclibm/l1d.128kB_l1i.64kB"/>
    <n v="7.0414810000000001"/>
    <n v="0.12184499999999999"/>
    <n v="2.0000000000000002E-5"/>
    <n v="0.99973500000000004"/>
    <x v="2"/>
    <x v="2"/>
    <x v="2"/>
    <n v="1"/>
    <x v="1"/>
    <x v="3"/>
    <x v="0"/>
    <x v="0"/>
    <x v="0"/>
    <x v="0"/>
  </r>
  <r>
    <s v="./speclibm/l1d.16kB_l1i.128kB"/>
    <n v="7.0434999999999999"/>
    <n v="0.12200999999999999"/>
    <n v="1.9000000000000001E-5"/>
    <n v="0.99704999999999999"/>
    <x v="2"/>
    <x v="2"/>
    <x v="2"/>
    <n v="1"/>
    <x v="2"/>
    <x v="1"/>
    <x v="0"/>
    <x v="0"/>
    <x v="0"/>
    <x v="0"/>
  </r>
  <r>
    <s v="./speclibm/l1d.16kB_l1i.16kB"/>
    <n v="7.043558"/>
    <n v="0.12200999999999999"/>
    <n v="2.4000000000000001E-5"/>
    <n v="0.99702100000000005"/>
    <x v="2"/>
    <x v="2"/>
    <x v="2"/>
    <n v="1"/>
    <x v="2"/>
    <x v="2"/>
    <x v="0"/>
    <x v="0"/>
    <x v="0"/>
    <x v="0"/>
  </r>
  <r>
    <s v="./speclibm/l1d.16kB_l1i.32kB"/>
    <n v="7.046748"/>
    <n v="0.12200999999999999"/>
    <n v="2.0999999999999999E-5"/>
    <n v="0.99703699999999995"/>
    <x v="2"/>
    <x v="2"/>
    <x v="2"/>
    <n v="1"/>
    <x v="2"/>
    <x v="0"/>
    <x v="0"/>
    <x v="0"/>
    <x v="0"/>
    <x v="0"/>
  </r>
  <r>
    <s v="./speclibm/l1d.16kB_l1i.64kB"/>
    <n v="7.0467339999999998"/>
    <n v="0.12200999999999999"/>
    <n v="2.0000000000000002E-5"/>
    <n v="0.99704300000000001"/>
    <x v="2"/>
    <x v="2"/>
    <x v="2"/>
    <n v="1"/>
    <x v="2"/>
    <x v="3"/>
    <x v="0"/>
    <x v="0"/>
    <x v="0"/>
    <x v="0"/>
  </r>
  <r>
    <s v="./speclibm/l1d.32kB_l1i.128kB"/>
    <n v="7.0422409999999998"/>
    <n v="0.12191299999999999"/>
    <n v="1.9000000000000001E-5"/>
    <n v="0.998637"/>
    <x v="2"/>
    <x v="2"/>
    <x v="2"/>
    <n v="1"/>
    <x v="0"/>
    <x v="1"/>
    <x v="0"/>
    <x v="0"/>
    <x v="0"/>
    <x v="0"/>
  </r>
  <r>
    <s v="./speclibm/l1d.32kB_l1i.16kB"/>
    <n v="7.0423010000000001"/>
    <n v="0.12191200000000001"/>
    <n v="2.4000000000000001E-5"/>
    <n v="0.99860800000000005"/>
    <x v="2"/>
    <x v="2"/>
    <x v="2"/>
    <n v="1"/>
    <x v="0"/>
    <x v="2"/>
    <x v="0"/>
    <x v="0"/>
    <x v="0"/>
    <x v="0"/>
  </r>
  <r>
    <s v="./speclibm/l1d.32kB_l1i.32kB"/>
    <n v="7.042268"/>
    <n v="0.12191200000000001"/>
    <n v="2.0999999999999999E-5"/>
    <n v="0.99862399999999996"/>
    <x v="2"/>
    <x v="2"/>
    <x v="2"/>
    <n v="1"/>
    <x v="0"/>
    <x v="0"/>
    <x v="0"/>
    <x v="0"/>
    <x v="0"/>
    <x v="0"/>
  </r>
  <r>
    <s v="./speclibm/l1d.32kB_l1i.64kB"/>
    <n v="7.0422409999999998"/>
    <n v="0.12191200000000001"/>
    <n v="2.0000000000000002E-5"/>
    <n v="0.99863000000000002"/>
    <x v="2"/>
    <x v="2"/>
    <x v="2"/>
    <n v="1"/>
    <x v="0"/>
    <x v="3"/>
    <x v="0"/>
    <x v="0"/>
    <x v="0"/>
    <x v="0"/>
  </r>
  <r>
    <s v="./speclibm/l1d.64kB_l1i.128kB"/>
    <n v="7.0417670000000001"/>
    <n v="0.12187000000000001"/>
    <n v="1.9000000000000001E-5"/>
    <n v="0.99933399999999994"/>
    <x v="2"/>
    <x v="2"/>
    <x v="2"/>
    <n v="1"/>
    <x v="3"/>
    <x v="1"/>
    <x v="0"/>
    <x v="0"/>
    <x v="0"/>
    <x v="0"/>
  </r>
  <r>
    <s v="./speclibm/l1d.64kB_l1i.16kB"/>
    <n v="7.0418070000000004"/>
    <n v="0.12187000000000001"/>
    <n v="2.4000000000000001E-5"/>
    <n v="0.999305"/>
    <x v="2"/>
    <x v="2"/>
    <x v="2"/>
    <n v="1"/>
    <x v="3"/>
    <x v="2"/>
    <x v="0"/>
    <x v="0"/>
    <x v="0"/>
    <x v="0"/>
  </r>
  <r>
    <s v="./speclibm/l1d.64kB_l1i.32kB"/>
    <n v="7.0417670000000001"/>
    <n v="0.12187000000000001"/>
    <n v="2.0999999999999999E-5"/>
    <n v="0.99932200000000004"/>
    <x v="2"/>
    <x v="2"/>
    <x v="2"/>
    <n v="1"/>
    <x v="3"/>
    <x v="0"/>
    <x v="0"/>
    <x v="0"/>
    <x v="0"/>
    <x v="0"/>
  </r>
  <r>
    <s v="./speclibm/l1d.64kB_l1i.64kB"/>
    <n v="7.0417759999999996"/>
    <n v="0.12187000000000001"/>
    <n v="2.0000000000000002E-5"/>
    <n v="0.99932699999999997"/>
    <x v="2"/>
    <x v="2"/>
    <x v="2"/>
    <n v="1"/>
    <x v="3"/>
    <x v="3"/>
    <x v="0"/>
    <x v="0"/>
    <x v="0"/>
    <x v="0"/>
  </r>
  <r>
    <s v="./speclibm/l1d_assoc.1"/>
    <n v="7.0422409999999998"/>
    <n v="0.12191200000000001"/>
    <n v="2.0000000000000002E-5"/>
    <n v="0.99863000000000002"/>
    <x v="2"/>
    <x v="3"/>
    <x v="2"/>
    <n v="1"/>
    <x v="0"/>
    <x v="0"/>
    <x v="0"/>
    <x v="0"/>
    <x v="0"/>
    <x v="0"/>
  </r>
  <r>
    <s v="./speclibm/l1d_assoc.2"/>
    <n v="7.0412840000000001"/>
    <n v="0.12183099999999999"/>
    <n v="2.0000000000000002E-5"/>
    <n v="0.99995400000000001"/>
    <x v="2"/>
    <x v="3"/>
    <x v="2"/>
    <n v="1"/>
    <x v="0"/>
    <x v="0"/>
    <x v="1"/>
    <x v="0"/>
    <x v="0"/>
    <x v="0"/>
  </r>
  <r>
    <s v="./speclibm/l1d_assoc.4"/>
    <n v="7.0412840000000001"/>
    <n v="0.12182900000000001"/>
    <n v="2.0000000000000002E-5"/>
    <n v="0.999973"/>
    <x v="2"/>
    <x v="3"/>
    <x v="2"/>
    <n v="1"/>
    <x v="0"/>
    <x v="0"/>
    <x v="2"/>
    <x v="0"/>
    <x v="0"/>
    <x v="0"/>
  </r>
  <r>
    <s v="./speclibm/l1i_assoc.1"/>
    <n v="7.0422409999999998"/>
    <n v="0.12191200000000001"/>
    <n v="2.0000000000000002E-5"/>
    <n v="0.99863000000000002"/>
    <x v="2"/>
    <x v="4"/>
    <x v="2"/>
    <n v="1"/>
    <x v="0"/>
    <x v="0"/>
    <x v="0"/>
    <x v="0"/>
    <x v="0"/>
    <x v="0"/>
  </r>
  <r>
    <s v="./speclibm/l1i_assoc.2"/>
    <n v="7.0422180000000001"/>
    <n v="0.12191299999999999"/>
    <n v="1.9000000000000001E-5"/>
    <n v="0.99863800000000003"/>
    <x v="2"/>
    <x v="4"/>
    <x v="2"/>
    <n v="1"/>
    <x v="0"/>
    <x v="0"/>
    <x v="0"/>
    <x v="1"/>
    <x v="0"/>
    <x v="0"/>
  </r>
  <r>
    <s v="./speclibm/l1i_assoc.4"/>
    <n v="7.0422560000000001"/>
    <n v="0.12191299999999999"/>
    <n v="1.9000000000000001E-5"/>
    <n v="0.99863800000000003"/>
    <x v="2"/>
    <x v="4"/>
    <x v="2"/>
    <n v="1"/>
    <x v="0"/>
    <x v="0"/>
    <x v="0"/>
    <x v="2"/>
    <x v="0"/>
    <x v="0"/>
  </r>
  <r>
    <s v="./speclibm/l2d_assoc.1"/>
    <n v="7.0423330000000002"/>
    <n v="0.12191200000000001"/>
    <n v="2.0000000000000002E-5"/>
    <n v="0.998668"/>
    <x v="2"/>
    <x v="5"/>
    <x v="2"/>
    <n v="1"/>
    <x v="0"/>
    <x v="0"/>
    <x v="0"/>
    <x v="0"/>
    <x v="1"/>
    <x v="0"/>
  </r>
  <r>
    <s v="./speclibm/l2d_assoc.2"/>
    <n v="7.0422409999999998"/>
    <n v="0.12191200000000001"/>
    <n v="2.0000000000000002E-5"/>
    <n v="0.99863000000000002"/>
    <x v="2"/>
    <x v="5"/>
    <x v="2"/>
    <n v="1"/>
    <x v="0"/>
    <x v="0"/>
    <x v="0"/>
    <x v="0"/>
    <x v="0"/>
    <x v="0"/>
  </r>
  <r>
    <s v="./speclibm/l2d_assoc.4"/>
    <n v="7.0423710000000002"/>
    <n v="0.12191299999999999"/>
    <n v="2.0000000000000002E-5"/>
    <n v="0.99863000000000002"/>
    <x v="2"/>
    <x v="5"/>
    <x v="2"/>
    <n v="1"/>
    <x v="0"/>
    <x v="0"/>
    <x v="0"/>
    <x v="0"/>
    <x v="2"/>
    <x v="0"/>
  </r>
  <r>
    <s v="./speclibm/l2_size.1MB"/>
    <n v="7.0419270000000003"/>
    <n v="0.12191200000000001"/>
    <n v="2.0000000000000002E-5"/>
    <n v="0.99863000000000002"/>
    <x v="2"/>
    <x v="6"/>
    <x v="2"/>
    <n v="1"/>
    <x v="0"/>
    <x v="0"/>
    <x v="0"/>
    <x v="0"/>
    <x v="0"/>
    <x v="1"/>
  </r>
  <r>
    <s v="./speclibm/l2_size.256kB"/>
    <n v="7.0424170000000004"/>
    <n v="0.12191200000000001"/>
    <n v="2.0000000000000002E-5"/>
    <n v="0.99863100000000005"/>
    <x v="2"/>
    <x v="6"/>
    <x v="2"/>
    <n v="1"/>
    <x v="0"/>
    <x v="0"/>
    <x v="0"/>
    <x v="0"/>
    <x v="0"/>
    <x v="2"/>
  </r>
  <r>
    <s v="./speclibm/l2_size.2MB"/>
    <n v="7.0411229999999998"/>
    <n v="0.12191200000000001"/>
    <n v="2.0000000000000002E-5"/>
    <n v="0.99863000000000002"/>
    <x v="2"/>
    <x v="6"/>
    <x v="2"/>
    <n v="1"/>
    <x v="0"/>
    <x v="0"/>
    <x v="0"/>
    <x v="0"/>
    <x v="0"/>
    <x v="3"/>
  </r>
  <r>
    <s v="./speclibm/l2_size.4MB"/>
    <n v="7.0394959999999998"/>
    <n v="0.12191200000000001"/>
    <n v="2.0000000000000002E-5"/>
    <n v="0.99863000000000002"/>
    <x v="2"/>
    <x v="6"/>
    <x v="2"/>
    <n v="1"/>
    <x v="0"/>
    <x v="0"/>
    <x v="0"/>
    <x v="0"/>
    <x v="0"/>
    <x v="4"/>
  </r>
  <r>
    <s v="./speclibm/l2_size.512kB"/>
    <n v="7.0422409999999998"/>
    <n v="0.12191200000000001"/>
    <n v="2.0000000000000002E-5"/>
    <n v="0.99863000000000002"/>
    <x v="2"/>
    <x v="6"/>
    <x v="2"/>
    <n v="1"/>
    <x v="0"/>
    <x v="0"/>
    <x v="0"/>
    <x v="0"/>
    <x v="0"/>
    <x v="0"/>
  </r>
  <r>
    <s v="./specmcf/cacheline.128"/>
    <n v="1.0883020000000001"/>
    <n v="2.8579999999999999E-3"/>
    <n v="3.4999999999999997E-5"/>
    <n v="0.33643800000000001"/>
    <x v="3"/>
    <x v="0"/>
    <x v="0"/>
    <n v="1"/>
    <x v="0"/>
    <x v="0"/>
    <x v="0"/>
    <x v="0"/>
    <x v="0"/>
    <x v="0"/>
  </r>
  <r>
    <s v="./specmcf/cacheline.32"/>
    <n v="1.129462"/>
    <n v="4.2399999999999998E-3"/>
    <n v="3.6999999999999998E-5"/>
    <n v="0.69636799999999999"/>
    <x v="3"/>
    <x v="0"/>
    <x v="1"/>
    <n v="1"/>
    <x v="0"/>
    <x v="0"/>
    <x v="0"/>
    <x v="0"/>
    <x v="0"/>
    <x v="0"/>
  </r>
  <r>
    <s v="./specmcf/cacheline.64"/>
    <n v="1.1022460000000001"/>
    <n v="3.2320000000000001E-3"/>
    <n v="3.4E-5"/>
    <n v="0.54118900000000003"/>
    <x v="3"/>
    <x v="0"/>
    <x v="2"/>
    <n v="1"/>
    <x v="0"/>
    <x v="0"/>
    <x v="0"/>
    <x v="0"/>
    <x v="0"/>
    <x v="0"/>
  </r>
  <r>
    <s v="./specmcf/cpu_clock.1GHz"/>
    <n v="1.1022460000000001"/>
    <n v="3.2320000000000001E-3"/>
    <n v="3.4E-5"/>
    <n v="0.54118900000000003"/>
    <x v="3"/>
    <x v="1"/>
    <x v="2"/>
    <n v="1"/>
    <x v="0"/>
    <x v="0"/>
    <x v="0"/>
    <x v="0"/>
    <x v="0"/>
    <x v="0"/>
  </r>
  <r>
    <s v="./specmcf/l1d.128kB_l1i.128kB"/>
    <n v="1.097575"/>
    <n v="2.2200000000000002E-3"/>
    <n v="2.9E-5"/>
    <n v="0.79192600000000002"/>
    <x v="3"/>
    <x v="2"/>
    <x v="2"/>
    <n v="1"/>
    <x v="1"/>
    <x v="1"/>
    <x v="0"/>
    <x v="0"/>
    <x v="0"/>
    <x v="0"/>
  </r>
  <r>
    <s v="./specmcf/l1d.128kB_l1i.16kB"/>
    <n v="1.4534739999999999"/>
    <n v="2.2169999999999998E-3"/>
    <n v="6.1155000000000001E-2"/>
    <n v="2.7237999999999998E-2"/>
    <x v="3"/>
    <x v="2"/>
    <x v="2"/>
    <n v="1"/>
    <x v="1"/>
    <x v="2"/>
    <x v="0"/>
    <x v="0"/>
    <x v="0"/>
    <x v="0"/>
  </r>
  <r>
    <s v="./specmcf/l1d.128kB_l1i.32kB"/>
    <n v="1.122811"/>
    <n v="2.2200000000000002E-3"/>
    <n v="4.6680000000000003E-3"/>
    <n v="0.25069599999999997"/>
    <x v="3"/>
    <x v="2"/>
    <x v="2"/>
    <n v="1"/>
    <x v="1"/>
    <x v="0"/>
    <x v="0"/>
    <x v="0"/>
    <x v="0"/>
    <x v="0"/>
  </r>
  <r>
    <s v="./specmcf/l1d.128kB_l1i.64kB"/>
    <n v="1.097653"/>
    <n v="2.2200000000000002E-3"/>
    <n v="3.4999999999999997E-5"/>
    <n v="0.78995199999999999"/>
    <x v="3"/>
    <x v="2"/>
    <x v="2"/>
    <n v="1"/>
    <x v="1"/>
    <x v="3"/>
    <x v="0"/>
    <x v="0"/>
    <x v="0"/>
    <x v="0"/>
  </r>
  <r>
    <s v="./specmcf/l1d.16kB_l1i.128kB"/>
    <n v="1.118355"/>
    <n v="7.8790000000000006E-3"/>
    <n v="2.9E-5"/>
    <n v="0.230268"/>
    <x v="3"/>
    <x v="2"/>
    <x v="2"/>
    <n v="1"/>
    <x v="2"/>
    <x v="1"/>
    <x v="0"/>
    <x v="0"/>
    <x v="0"/>
    <x v="0"/>
  </r>
  <r>
    <s v="./specmcf/l1d.16kB_l1i.16kB"/>
    <n v="1.4724429999999999"/>
    <n v="6.6990000000000001E-3"/>
    <n v="6.1148000000000001E-2"/>
    <n v="2.4827999999999999E-2"/>
    <x v="3"/>
    <x v="2"/>
    <x v="2"/>
    <n v="1"/>
    <x v="2"/>
    <x v="2"/>
    <x v="0"/>
    <x v="0"/>
    <x v="0"/>
    <x v="0"/>
  </r>
  <r>
    <s v="./specmcf/l1d.16kB_l1i.32kB"/>
    <n v="1.144496"/>
    <n v="7.8790000000000006E-3"/>
    <n v="4.6680000000000003E-3"/>
    <n v="0.14080999999999999"/>
    <x v="3"/>
    <x v="2"/>
    <x v="2"/>
    <n v="1"/>
    <x v="2"/>
    <x v="0"/>
    <x v="0"/>
    <x v="0"/>
    <x v="0"/>
    <x v="0"/>
  </r>
  <r>
    <s v="./specmcf/l1d.16kB_l1i.64kB"/>
    <n v="1.118433"/>
    <n v="7.8790000000000006E-3"/>
    <n v="3.4E-5"/>
    <n v="0.230099"/>
    <x v="3"/>
    <x v="2"/>
    <x v="2"/>
    <n v="1"/>
    <x v="2"/>
    <x v="3"/>
    <x v="0"/>
    <x v="0"/>
    <x v="0"/>
    <x v="0"/>
  </r>
  <r>
    <s v="./specmcf/l1d.32kB_l1i.128kB"/>
    <n v="1.1023210000000001"/>
    <n v="3.2320000000000001E-3"/>
    <n v="2.9E-5"/>
    <n v="0.54210800000000003"/>
    <x v="3"/>
    <x v="2"/>
    <x v="2"/>
    <n v="1"/>
    <x v="0"/>
    <x v="1"/>
    <x v="0"/>
    <x v="0"/>
    <x v="0"/>
    <x v="0"/>
  </r>
  <r>
    <s v="./specmcf/l1d.32kB_l1i.16kB"/>
    <n v="1.4570860000000001"/>
    <n v="3.2200000000000002E-3"/>
    <n v="6.1151999999999998E-2"/>
    <n v="2.6505000000000001E-2"/>
    <x v="3"/>
    <x v="2"/>
    <x v="2"/>
    <n v="1"/>
    <x v="0"/>
    <x v="2"/>
    <x v="0"/>
    <x v="0"/>
    <x v="0"/>
    <x v="0"/>
  </r>
  <r>
    <s v="./specmcf/l1d.32kB_l1i.32kB"/>
    <n v="1.127802"/>
    <n v="3.2309999999999999E-3"/>
    <n v="4.6680000000000003E-3"/>
    <n v="0.21732499999999999"/>
    <x v="3"/>
    <x v="2"/>
    <x v="2"/>
    <n v="1"/>
    <x v="0"/>
    <x v="0"/>
    <x v="0"/>
    <x v="0"/>
    <x v="0"/>
    <x v="0"/>
  </r>
  <r>
    <s v="./specmcf/l1d.32kB_l1i.64kB"/>
    <n v="1.1022460000000001"/>
    <n v="3.2320000000000001E-3"/>
    <n v="3.4E-5"/>
    <n v="0.54118900000000003"/>
    <x v="3"/>
    <x v="2"/>
    <x v="2"/>
    <n v="1"/>
    <x v="0"/>
    <x v="3"/>
    <x v="0"/>
    <x v="0"/>
    <x v="0"/>
    <x v="0"/>
  </r>
  <r>
    <s v="./specmcf/l1d.64kB_l1i.128kB"/>
    <n v="1.0994740000000001"/>
    <n v="2.5609999999999999E-3"/>
    <n v="2.9E-5"/>
    <n v="0.68281400000000003"/>
    <x v="3"/>
    <x v="2"/>
    <x v="2"/>
    <n v="1"/>
    <x v="3"/>
    <x v="1"/>
    <x v="0"/>
    <x v="0"/>
    <x v="0"/>
    <x v="0"/>
  </r>
  <r>
    <s v="./specmcf/l1d.64kB_l1i.16kB"/>
    <n v="1.4545809999999999"/>
    <n v="2.5539999999999998E-3"/>
    <n v="6.1154E-2"/>
    <n v="2.6834E-2"/>
    <x v="3"/>
    <x v="2"/>
    <x v="2"/>
    <n v="1"/>
    <x v="3"/>
    <x v="2"/>
    <x v="0"/>
    <x v="0"/>
    <x v="0"/>
    <x v="0"/>
  </r>
  <r>
    <s v="./specmcf/l1d.64kB_l1i.32kB"/>
    <n v="1.1242639999999999"/>
    <n v="2.5609999999999999E-3"/>
    <n v="4.6680000000000003E-3"/>
    <n v="0.23718400000000001"/>
    <x v="3"/>
    <x v="2"/>
    <x v="2"/>
    <n v="1"/>
    <x v="3"/>
    <x v="0"/>
    <x v="0"/>
    <x v="0"/>
    <x v="0"/>
    <x v="0"/>
  </r>
  <r>
    <s v="./specmcf/l1d.64kB_l1i.64kB"/>
    <n v="1.099343"/>
    <n v="2.5600000000000002E-3"/>
    <n v="3.4E-5"/>
    <n v="0.681334"/>
    <x v="3"/>
    <x v="2"/>
    <x v="2"/>
    <n v="1"/>
    <x v="3"/>
    <x v="3"/>
    <x v="0"/>
    <x v="0"/>
    <x v="0"/>
    <x v="0"/>
  </r>
  <r>
    <s v="./specmcf/l1d_assoc.1"/>
    <n v="1.1022460000000001"/>
    <n v="3.2320000000000001E-3"/>
    <n v="3.4E-5"/>
    <n v="0.54118900000000003"/>
    <x v="3"/>
    <x v="3"/>
    <x v="2"/>
    <n v="1"/>
    <x v="0"/>
    <x v="0"/>
    <x v="0"/>
    <x v="0"/>
    <x v="0"/>
    <x v="0"/>
  </r>
  <r>
    <s v="./specmcf/l1d_assoc.2"/>
    <n v="1.098104"/>
    <n v="2.3900000000000002E-3"/>
    <n v="3.4E-5"/>
    <n v="0.73771900000000001"/>
    <x v="3"/>
    <x v="3"/>
    <x v="2"/>
    <n v="1"/>
    <x v="0"/>
    <x v="0"/>
    <x v="1"/>
    <x v="0"/>
    <x v="0"/>
    <x v="0"/>
  </r>
  <r>
    <s v="./specmcf/l1d_assoc.4"/>
    <n v="1.0975969999999999"/>
    <n v="2.2780000000000001E-3"/>
    <n v="3.4E-5"/>
    <n v="0.77809499999999998"/>
    <x v="3"/>
    <x v="3"/>
    <x v="2"/>
    <n v="1"/>
    <x v="0"/>
    <x v="0"/>
    <x v="2"/>
    <x v="0"/>
    <x v="0"/>
    <x v="0"/>
  </r>
  <r>
    <s v="./specmcf/l1i_assoc.1"/>
    <n v="1.1022460000000001"/>
    <n v="3.2320000000000001E-3"/>
    <n v="3.4E-5"/>
    <n v="0.54118900000000003"/>
    <x v="3"/>
    <x v="4"/>
    <x v="2"/>
    <n v="1"/>
    <x v="0"/>
    <x v="0"/>
    <x v="0"/>
    <x v="0"/>
    <x v="0"/>
    <x v="0"/>
  </r>
  <r>
    <s v="./specmcf/l1i_assoc.2"/>
    <n v="1.1023210000000001"/>
    <n v="3.2320000000000001E-3"/>
    <n v="1.9000000000000001E-5"/>
    <n v="0.54366899999999996"/>
    <x v="3"/>
    <x v="4"/>
    <x v="2"/>
    <n v="1"/>
    <x v="0"/>
    <x v="0"/>
    <x v="0"/>
    <x v="1"/>
    <x v="0"/>
    <x v="0"/>
  </r>
  <r>
    <s v="./specmcf/l1i_assoc.4"/>
    <n v="1.1022430000000001"/>
    <n v="3.2320000000000001E-3"/>
    <n v="1.9000000000000001E-5"/>
    <n v="0.54369500000000004"/>
    <x v="3"/>
    <x v="4"/>
    <x v="2"/>
    <n v="1"/>
    <x v="0"/>
    <x v="0"/>
    <x v="0"/>
    <x v="2"/>
    <x v="0"/>
    <x v="0"/>
  </r>
  <r>
    <s v="./specmcf/l2d_assoc.1"/>
    <n v="1.1036170000000001"/>
    <n v="3.2320000000000001E-3"/>
    <n v="3.4E-5"/>
    <n v="0.56542700000000001"/>
    <x v="3"/>
    <x v="5"/>
    <x v="2"/>
    <n v="1"/>
    <x v="0"/>
    <x v="0"/>
    <x v="0"/>
    <x v="0"/>
    <x v="1"/>
    <x v="0"/>
  </r>
  <r>
    <s v="./specmcf/l2d_assoc.2"/>
    <n v="1.1022460000000001"/>
    <n v="3.2320000000000001E-3"/>
    <n v="3.4E-5"/>
    <n v="0.54118900000000003"/>
    <x v="3"/>
    <x v="5"/>
    <x v="2"/>
    <n v="1"/>
    <x v="0"/>
    <x v="0"/>
    <x v="0"/>
    <x v="0"/>
    <x v="0"/>
    <x v="0"/>
  </r>
  <r>
    <s v="./specmcf/l2d_assoc.4"/>
    <n v="1.1020840000000001"/>
    <n v="3.2320000000000001E-3"/>
    <n v="3.4E-5"/>
    <n v="0.53511500000000001"/>
    <x v="3"/>
    <x v="5"/>
    <x v="2"/>
    <n v="1"/>
    <x v="0"/>
    <x v="0"/>
    <x v="0"/>
    <x v="0"/>
    <x v="2"/>
    <x v="0"/>
  </r>
  <r>
    <s v="./specmcf/l2_size.1MB"/>
    <n v="1.0997710000000001"/>
    <n v="3.2309999999999999E-3"/>
    <n v="3.4E-5"/>
    <n v="0.49755899999999997"/>
    <x v="3"/>
    <x v="6"/>
    <x v="2"/>
    <n v="1"/>
    <x v="0"/>
    <x v="0"/>
    <x v="0"/>
    <x v="0"/>
    <x v="0"/>
    <x v="1"/>
  </r>
  <r>
    <s v="./specmcf/l2_size.256kB"/>
    <n v="1.104293"/>
    <n v="3.2320000000000001E-3"/>
    <n v="3.4E-5"/>
    <n v="0.57408000000000003"/>
    <x v="3"/>
    <x v="6"/>
    <x v="2"/>
    <n v="1"/>
    <x v="0"/>
    <x v="0"/>
    <x v="0"/>
    <x v="0"/>
    <x v="0"/>
    <x v="2"/>
  </r>
  <r>
    <s v="./specmcf/l2_size.2MB"/>
    <n v="1.09768"/>
    <n v="3.2309999999999999E-3"/>
    <n v="3.4E-5"/>
    <n v="0.46477600000000002"/>
    <x v="3"/>
    <x v="6"/>
    <x v="2"/>
    <n v="1"/>
    <x v="0"/>
    <x v="0"/>
    <x v="0"/>
    <x v="0"/>
    <x v="0"/>
    <x v="3"/>
  </r>
  <r>
    <s v="./specmcf/l2_size.4MB"/>
    <n v="1.0975239999999999"/>
    <n v="3.2309999999999999E-3"/>
    <n v="3.4E-5"/>
    <n v="0.46161200000000002"/>
    <x v="3"/>
    <x v="6"/>
    <x v="2"/>
    <n v="1"/>
    <x v="0"/>
    <x v="0"/>
    <x v="0"/>
    <x v="0"/>
    <x v="0"/>
    <x v="4"/>
  </r>
  <r>
    <s v="./specmcf/l2_size.512kB"/>
    <n v="1.1022460000000001"/>
    <n v="3.2320000000000001E-3"/>
    <n v="3.4E-5"/>
    <n v="0.54118900000000003"/>
    <x v="3"/>
    <x v="6"/>
    <x v="2"/>
    <n v="1"/>
    <x v="0"/>
    <x v="0"/>
    <x v="0"/>
    <x v="0"/>
    <x v="0"/>
    <x v="0"/>
  </r>
  <r>
    <s v="./specsjeng/cacheline.128"/>
    <n v="1.243045"/>
    <n v="5.8240000000000002E-3"/>
    <n v="1.18E-4"/>
    <n v="1.3793E-2"/>
    <x v="4"/>
    <x v="0"/>
    <x v="0"/>
    <n v="1"/>
    <x v="0"/>
    <x v="0"/>
    <x v="0"/>
    <x v="0"/>
    <x v="0"/>
    <x v="0"/>
  </r>
  <r>
    <s v="./specsjeng/cacheline.32"/>
    <n v="1.2253179999999999"/>
    <n v="6.5799999999999999E-3"/>
    <n v="1.76E-4"/>
    <n v="3.9736E-2"/>
    <x v="4"/>
    <x v="0"/>
    <x v="1"/>
    <n v="1"/>
    <x v="0"/>
    <x v="0"/>
    <x v="0"/>
    <x v="0"/>
    <x v="0"/>
    <x v="0"/>
  </r>
  <r>
    <s v="./specsjeng/cacheline.64"/>
    <n v="1.2323850000000001"/>
    <n v="5.777E-3"/>
    <n v="1.36E-4"/>
    <n v="2.4802999999999999E-2"/>
    <x v="4"/>
    <x v="0"/>
    <x v="2"/>
    <n v="1"/>
    <x v="0"/>
    <x v="0"/>
    <x v="0"/>
    <x v="0"/>
    <x v="0"/>
    <x v="0"/>
  </r>
  <r>
    <s v="./specsjeng/cpu_clock.1GHz"/>
    <n v="1.2323850000000001"/>
    <n v="5.777E-3"/>
    <n v="1.36E-4"/>
    <n v="2.4802999999999999E-2"/>
    <x v="4"/>
    <x v="1"/>
    <x v="2"/>
    <n v="1"/>
    <x v="0"/>
    <x v="0"/>
    <x v="0"/>
    <x v="0"/>
    <x v="0"/>
    <x v="0"/>
  </r>
  <r>
    <s v="./specsjeng/l1d.128kB_l1i.128kB"/>
    <n v="1.188863"/>
    <n v="1.493E-3"/>
    <n v="1.2300000000000001E-4"/>
    <n v="9.3507000000000007E-2"/>
    <x v="4"/>
    <x v="2"/>
    <x v="2"/>
    <n v="1"/>
    <x v="1"/>
    <x v="1"/>
    <x v="0"/>
    <x v="0"/>
    <x v="0"/>
    <x v="0"/>
  </r>
  <r>
    <s v="./specsjeng/l1d.128kB_l1i.16kB"/>
    <n v="1.1918550000000001"/>
    <n v="1.493E-3"/>
    <n v="1.1839999999999999E-3"/>
    <n v="7.5246999999999994E-2"/>
    <x v="4"/>
    <x v="2"/>
    <x v="2"/>
    <n v="1"/>
    <x v="1"/>
    <x v="2"/>
    <x v="0"/>
    <x v="0"/>
    <x v="0"/>
    <x v="0"/>
  </r>
  <r>
    <s v="./specsjeng/l1d.128kB_l1i.32kB"/>
    <n v="1.190126"/>
    <n v="1.493E-3"/>
    <n v="6.2399999999999999E-4"/>
    <n v="8.2375000000000004E-2"/>
    <x v="4"/>
    <x v="2"/>
    <x v="2"/>
    <n v="1"/>
    <x v="1"/>
    <x v="0"/>
    <x v="0"/>
    <x v="0"/>
    <x v="0"/>
    <x v="0"/>
  </r>
  <r>
    <s v="./specsjeng/l1d.128kB_l1i.64kB"/>
    <n v="1.188898"/>
    <n v="1.493E-3"/>
    <n v="1.35E-4"/>
    <n v="9.3235999999999999E-2"/>
    <x v="4"/>
    <x v="2"/>
    <x v="2"/>
    <n v="1"/>
    <x v="1"/>
    <x v="3"/>
    <x v="0"/>
    <x v="0"/>
    <x v="0"/>
    <x v="0"/>
  </r>
  <r>
    <s v="./specsjeng/l1d.16kB_l1i.128kB"/>
    <n v="1.2590699999999999"/>
    <n v="8.3320000000000009E-3"/>
    <n v="1.2300000000000001E-4"/>
    <n v="1.7301E-2"/>
    <x v="4"/>
    <x v="2"/>
    <x v="2"/>
    <n v="1"/>
    <x v="2"/>
    <x v="1"/>
    <x v="0"/>
    <x v="0"/>
    <x v="0"/>
    <x v="0"/>
  </r>
  <r>
    <s v="./specsjeng/l1d.16kB_l1i.16kB"/>
    <n v="1.2614399999999999"/>
    <n v="8.3309999999999999E-3"/>
    <n v="1.1980000000000001E-3"/>
    <n v="1.7738E-2"/>
    <x v="4"/>
    <x v="2"/>
    <x v="2"/>
    <n v="1"/>
    <x v="2"/>
    <x v="2"/>
    <x v="0"/>
    <x v="0"/>
    <x v="0"/>
    <x v="0"/>
  </r>
  <r>
    <s v="./specsjeng/l1d.16kB_l1i.32kB"/>
    <n v="1.2598339999999999"/>
    <n v="8.3320000000000009E-3"/>
    <n v="6.2699999999999995E-4"/>
    <n v="1.6906999999999998E-2"/>
    <x v="4"/>
    <x v="2"/>
    <x v="2"/>
    <n v="1"/>
    <x v="2"/>
    <x v="0"/>
    <x v="0"/>
    <x v="0"/>
    <x v="0"/>
    <x v="0"/>
  </r>
  <r>
    <s v="./specsjeng/l1d.16kB_l1i.64kB"/>
    <n v="1.259123"/>
    <n v="8.3320000000000009E-3"/>
    <n v="1.36E-4"/>
    <n v="1.7308E-2"/>
    <x v="4"/>
    <x v="2"/>
    <x v="2"/>
    <n v="1"/>
    <x v="2"/>
    <x v="3"/>
    <x v="0"/>
    <x v="0"/>
    <x v="0"/>
    <x v="0"/>
  </r>
  <r>
    <s v="./specsjeng/l1d.32kB_l1i.128kB"/>
    <n v="1.232337"/>
    <n v="5.777E-3"/>
    <n v="1.2300000000000001E-4"/>
    <n v="2.4805000000000001E-2"/>
    <x v="4"/>
    <x v="2"/>
    <x v="2"/>
    <n v="1"/>
    <x v="0"/>
    <x v="1"/>
    <x v="0"/>
    <x v="0"/>
    <x v="0"/>
    <x v="0"/>
  </r>
  <r>
    <s v="./specsjeng/l1d.32kB_l1i.16kB"/>
    <n v="1.234974"/>
    <n v="5.777E-3"/>
    <n v="1.194E-3"/>
    <n v="2.4719000000000001E-2"/>
    <x v="4"/>
    <x v="2"/>
    <x v="2"/>
    <n v="1"/>
    <x v="0"/>
    <x v="2"/>
    <x v="0"/>
    <x v="0"/>
    <x v="0"/>
    <x v="0"/>
  </r>
  <r>
    <s v="./specsjeng/l1d.32kB_l1i.32kB"/>
    <n v="1.2333259999999999"/>
    <n v="5.777E-3"/>
    <n v="6.2600000000000004E-4"/>
    <n v="2.3956999999999999E-2"/>
    <x v="4"/>
    <x v="2"/>
    <x v="2"/>
    <n v="1"/>
    <x v="0"/>
    <x v="0"/>
    <x v="0"/>
    <x v="0"/>
    <x v="0"/>
    <x v="0"/>
  </r>
  <r>
    <s v="./specsjeng/l1d.32kB_l1i.64kB"/>
    <n v="1.2323850000000001"/>
    <n v="5.777E-3"/>
    <n v="1.36E-4"/>
    <n v="2.4802999999999999E-2"/>
    <x v="4"/>
    <x v="2"/>
    <x v="2"/>
    <n v="1"/>
    <x v="0"/>
    <x v="3"/>
    <x v="0"/>
    <x v="0"/>
    <x v="0"/>
    <x v="0"/>
  </r>
  <r>
    <s v="./specsjeng/l1d.64kB_l1i.128kB"/>
    <n v="1.20848"/>
    <n v="3.4680000000000002E-3"/>
    <n v="1.2300000000000001E-4"/>
    <n v="4.1189999999999997E-2"/>
    <x v="4"/>
    <x v="2"/>
    <x v="2"/>
    <n v="1"/>
    <x v="3"/>
    <x v="1"/>
    <x v="0"/>
    <x v="0"/>
    <x v="0"/>
    <x v="0"/>
  </r>
  <r>
    <s v="./specsjeng/l1d.64kB_l1i.16kB"/>
    <n v="1.2114720000000001"/>
    <n v="3.4680000000000002E-3"/>
    <n v="1.188E-3"/>
    <n v="3.9240999999999998E-2"/>
    <x v="4"/>
    <x v="2"/>
    <x v="2"/>
    <n v="1"/>
    <x v="3"/>
    <x v="2"/>
    <x v="0"/>
    <x v="0"/>
    <x v="0"/>
    <x v="0"/>
  </r>
  <r>
    <s v="./specsjeng/l1d.64kB_l1i.32kB"/>
    <n v="1.209716"/>
    <n v="3.4680000000000002E-3"/>
    <n v="6.2399999999999999E-4"/>
    <n v="3.8890000000000001E-2"/>
    <x v="4"/>
    <x v="2"/>
    <x v="2"/>
    <n v="1"/>
    <x v="3"/>
    <x v="0"/>
    <x v="0"/>
    <x v="0"/>
    <x v="0"/>
    <x v="0"/>
  </r>
  <r>
    <s v="./specsjeng/l1d.64kB_l1i.64kB"/>
    <n v="1.2085399999999999"/>
    <n v="3.4680000000000002E-3"/>
    <n v="1.35E-4"/>
    <n v="4.1162999999999998E-2"/>
    <x v="4"/>
    <x v="2"/>
    <x v="2"/>
    <n v="1"/>
    <x v="3"/>
    <x v="3"/>
    <x v="0"/>
    <x v="0"/>
    <x v="0"/>
    <x v="0"/>
  </r>
  <r>
    <s v="./specsjeng/l1d_assoc.1"/>
    <n v="1.2323850000000001"/>
    <n v="5.777E-3"/>
    <n v="1.36E-4"/>
    <n v="2.4802999999999999E-2"/>
    <x v="4"/>
    <x v="3"/>
    <x v="2"/>
    <n v="1"/>
    <x v="0"/>
    <x v="0"/>
    <x v="0"/>
    <x v="0"/>
    <x v="0"/>
    <x v="0"/>
  </r>
  <r>
    <s v="./specsjeng/l1d_assoc.2"/>
    <n v="1.1879999999999999"/>
    <n v="2.3679999999999999E-3"/>
    <n v="1.36E-4"/>
    <n v="5.9326999999999998E-2"/>
    <x v="4"/>
    <x v="3"/>
    <x v="2"/>
    <n v="1"/>
    <x v="0"/>
    <x v="0"/>
    <x v="1"/>
    <x v="0"/>
    <x v="0"/>
    <x v="0"/>
  </r>
  <r>
    <s v="./specsjeng/l1d_assoc.4"/>
    <n v="1.185092"/>
    <n v="2.029E-3"/>
    <n v="1.35E-4"/>
    <n v="6.8987999999999994E-2"/>
    <x v="4"/>
    <x v="3"/>
    <x v="2"/>
    <n v="1"/>
    <x v="0"/>
    <x v="0"/>
    <x v="2"/>
    <x v="0"/>
    <x v="0"/>
    <x v="0"/>
  </r>
  <r>
    <s v="./specsjeng/l1i_assoc.1"/>
    <n v="1.2323850000000001"/>
    <n v="5.777E-3"/>
    <n v="1.36E-4"/>
    <n v="2.4802999999999999E-2"/>
    <x v="4"/>
    <x v="4"/>
    <x v="2"/>
    <n v="1"/>
    <x v="0"/>
    <x v="0"/>
    <x v="0"/>
    <x v="0"/>
    <x v="0"/>
    <x v="0"/>
  </r>
  <r>
    <s v="./specsjeng/l1i_assoc.2"/>
    <n v="1.232289"/>
    <n v="5.777E-3"/>
    <n v="1.02E-4"/>
    <n v="2.4715999999999998E-2"/>
    <x v="4"/>
    <x v="4"/>
    <x v="2"/>
    <n v="1"/>
    <x v="0"/>
    <x v="0"/>
    <x v="0"/>
    <x v="1"/>
    <x v="0"/>
    <x v="0"/>
  </r>
  <r>
    <s v="./specsjeng/l1i_assoc.4"/>
    <n v="1.2322610000000001"/>
    <n v="5.777E-3"/>
    <n v="8.2000000000000001E-5"/>
    <n v="2.4750999999999999E-2"/>
    <x v="4"/>
    <x v="4"/>
    <x v="2"/>
    <n v="1"/>
    <x v="0"/>
    <x v="0"/>
    <x v="0"/>
    <x v="2"/>
    <x v="0"/>
    <x v="0"/>
  </r>
  <r>
    <s v="./specsjeng/l2d_assoc.1"/>
    <n v="1.2327090000000001"/>
    <n v="5.7800000000000004E-3"/>
    <n v="1.36E-4"/>
    <n v="2.6973E-2"/>
    <x v="4"/>
    <x v="5"/>
    <x v="2"/>
    <n v="1"/>
    <x v="0"/>
    <x v="0"/>
    <x v="0"/>
    <x v="0"/>
    <x v="1"/>
    <x v="0"/>
  </r>
  <r>
    <s v="./specsjeng/l2d_assoc.2"/>
    <n v="1.2323850000000001"/>
    <n v="5.777E-3"/>
    <n v="1.36E-4"/>
    <n v="2.4802999999999999E-2"/>
    <x v="4"/>
    <x v="5"/>
    <x v="2"/>
    <n v="1"/>
    <x v="0"/>
    <x v="0"/>
    <x v="0"/>
    <x v="0"/>
    <x v="0"/>
    <x v="0"/>
  </r>
  <r>
    <s v="./specsjeng/l2d_assoc.4"/>
    <n v="1.232297"/>
    <n v="5.777E-3"/>
    <n v="1.36E-4"/>
    <n v="2.4254000000000001E-2"/>
    <x v="4"/>
    <x v="5"/>
    <x v="2"/>
    <n v="1"/>
    <x v="0"/>
    <x v="0"/>
    <x v="0"/>
    <x v="0"/>
    <x v="2"/>
    <x v="0"/>
  </r>
  <r>
    <s v="./specsjeng/l2_size.1MB"/>
    <n v="1.2322789999999999"/>
    <n v="5.777E-3"/>
    <n v="1.36E-4"/>
    <n v="2.4129000000000001E-2"/>
    <x v="4"/>
    <x v="6"/>
    <x v="2"/>
    <n v="1"/>
    <x v="0"/>
    <x v="0"/>
    <x v="0"/>
    <x v="0"/>
    <x v="0"/>
    <x v="1"/>
  </r>
  <r>
    <s v="./specsjeng/l2_size.256kB"/>
    <n v="1.233336"/>
    <n v="5.7809999999999997E-3"/>
    <n v="1.36E-4"/>
    <n v="3.0449E-2"/>
    <x v="4"/>
    <x v="6"/>
    <x v="2"/>
    <n v="1"/>
    <x v="0"/>
    <x v="0"/>
    <x v="0"/>
    <x v="0"/>
    <x v="0"/>
    <x v="2"/>
  </r>
  <r>
    <s v="./specsjeng/l2_size.2MB"/>
    <n v="1.2322789999999999"/>
    <n v="5.777E-3"/>
    <n v="1.36E-4"/>
    <n v="2.4129000000000001E-2"/>
    <x v="4"/>
    <x v="6"/>
    <x v="2"/>
    <n v="1"/>
    <x v="0"/>
    <x v="0"/>
    <x v="0"/>
    <x v="0"/>
    <x v="0"/>
    <x v="3"/>
  </r>
  <r>
    <s v="./specsjeng/l2_size.4MB"/>
    <n v="1.2322789999999999"/>
    <n v="5.777E-3"/>
    <n v="1.36E-4"/>
    <n v="2.4129000000000001E-2"/>
    <x v="4"/>
    <x v="6"/>
    <x v="2"/>
    <n v="1"/>
    <x v="0"/>
    <x v="0"/>
    <x v="0"/>
    <x v="0"/>
    <x v="0"/>
    <x v="4"/>
  </r>
  <r>
    <s v="./specsjeng/l2_size.512kB"/>
    <n v="1.2323850000000001"/>
    <n v="5.777E-3"/>
    <n v="1.36E-4"/>
    <n v="2.4802999999999999E-2"/>
    <x v="4"/>
    <x v="6"/>
    <x v="2"/>
    <n v="1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67E8FD-C4FD-4694-B6C9-CC47D398EA3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2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system.cpu.cpi" fld="1" subtotal="average" baseField="7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F8E755-A3F1-4966-BC0B-9E6828B65CD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2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system.cpu.dcache.overall_miss_rate::total" fld="2" subtotal="average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8E27D0-C312-48B9-B7D0-FF277CA400C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3:B24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system.cpu.icache.overall_miss_rate::total" fld="3" subtotal="average" baseField="0" baseItem="0"/>
  </dataFields>
  <chartFormats count="1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9BAC1-18D2-4CE0-9B97-3D2937551A08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A3:B2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system.l2.overall_miss_rate::total" fld="4" subtotal="average" baseField="0" baseItem="0"/>
  </dataFields>
  <chartFormats count="1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3CE372-04D0-4AB1-962B-1A542DAADD5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4:F31" firstHeaderRow="1" firstDataRow="2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axis="axisCol" showAll="0">
      <items count="5">
        <item x="2"/>
        <item x="0"/>
        <item x="3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system.cpu.cpi" fld="1" subtotal="average" baseField="10" baseItem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560913-AD5A-4B37-8767-36A83831BE4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4:F31" firstHeaderRow="1" firstDataRow="2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axis="axisCol" showAll="0">
      <items count="5">
        <item x="2"/>
        <item x="0"/>
        <item x="3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system.cpu.dcache.overall_miss_rate::total" fld="2" subtotal="average" baseField="10" baseItem="1"/>
  </dataFields>
  <chartFormats count="12"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1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F4405-06E5-4065-9CD8-AEB01135CBF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4:F31" firstHeaderRow="1" firstDataRow="2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axis="axisCol" showAll="0">
      <items count="5">
        <item x="2"/>
        <item x="0"/>
        <item x="3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system.cpu.icache.overall_miss_rate::total" fld="3" subtotal="average" baseField="10" baseItem="2"/>
  </dataFields>
  <chartFormats count="4">
    <chartFormat chart="9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1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9" format="1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0AC3F4-FBA1-461E-A53C-D6E7AC69E496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4:F31" firstHeaderRow="1" firstDataRow="2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axis="axisCol" showAll="0">
      <items count="5">
        <item x="2"/>
        <item x="0"/>
        <item x="3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system.l2.overall_miss_rate::total" fld="4" subtotal="average" baseField="10" baseItem="2"/>
  </dataFields>
  <chartFormats count="7">
    <chartFormat chart="12" format="22" series="1">
      <pivotArea type="data" outline="0" fieldPosition="0">
        <references count="1">
          <reference field="9" count="1" selected="0">
            <x v="0"/>
          </reference>
        </references>
      </pivotArea>
    </chartFormat>
    <chartFormat chart="12" format="23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12" format="24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12" format="25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12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2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2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9FB93C-E8E4-44B8-AD2F-35FA3AA309B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2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system.cpu.cpi" fld="1" subtotal="average" baseField="7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224A5F-BC71-4B9D-BF75-7B2A03BE20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3:B2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system.cpu.dcache.overall_miss_rate::total" fld="2" subtotal="average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6A98B3-D056-4A75-95D4-F9D5BF2F062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4:B25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system.cpu.icache.overall_miss_rate::total" fld="3" subtotal="average" baseField="0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2FA25C-C342-40C6-86FA-2AA8F256DB5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A3:B2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system.l2.overall_miss_rate::total" fld="4" subtotal="average" baseField="0" baseItem="0"/>
  </dataFields>
  <chartFormats count="2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167FF-86FC-4133-9DE0-3C423F2E0CA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3:B2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system.cpu.cpi" fld="1" subtotal="average" baseField="7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7DEDE-274A-4C31-A9FA-9E1D9680C90D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3:B2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system.cpu.dcache.overall_miss_rate::total" fld="2" subtotal="average" baseField="0" baseItem="0"/>
  </dataFields>
  <chartFormats count="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AC9D77-8A0D-4AEC-AE08-585B8864A18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A4:B25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system.cpu.icache.overall_miss_rate::total" fld="3" subtotal="average" baseField="0" baseItem="0"/>
  </dataFields>
  <chartFormats count="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307EE-CF12-4120-8B18-5AA7B3DB33F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A3:B2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system.l2.overall_miss_rate::total" fld="4" subtotal="average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70FC57-AA55-4747-9432-BC39D11F3AA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3:B2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system.cpu.cpi" fld="1" subtotal="average" baseField="7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0DFA63-E212-4846-B17E-D182D41C1BD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3:B2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system.cpu.dcache.overall_miss_rate::total" fld="2" subtotal="average" baseField="0" baseItem="0"/>
  </dataFields>
  <chartFormats count="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9461F-32DB-47D6-94DE-7C951C7E247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A4:B25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system.cpu.icache.overall_miss_rate::total" fld="3" subtotal="average" baseField="0" baseItem="0"/>
  </dataFields>
  <chartFormats count="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D57A12-3303-4B72-BF3F-E653098CB63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A3:B2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system.l2.overall_miss_rate::total" fld="4" subtotal="average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9C75C6-00BF-4AA1-8DD7-A744CD79CFA8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A3:B34" firstHeaderRow="1" firstDataRow="1" firstDataCol="1" rowPageCount="1" colPageCount="1"/>
  <pivotFields count="15"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system.cpu.cpi" fld="1" subtotal="average" baseField="7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6E9596-280F-456E-A6C1-19FE20E331A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A3:B34" firstHeaderRow="1" firstDataRow="1" firstDataCol="1" rowPageCount="1" colPageCount="1"/>
  <pivotFields count="15"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system.cpu.dcache.overall_miss_rate::total" fld="2" subtotal="average" baseField="0" baseItem="0"/>
  </dataFields>
  <chartFormats count="4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4B5ADD-9434-481B-8D86-46721AADAEA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4:B35" firstHeaderRow="1" firstDataRow="1" firstDataCol="1" rowPageCount="1" colPageCount="1"/>
  <pivotFields count="15">
    <pivotField showAll="0"/>
    <pivotField showAll="0"/>
    <pivotField showAll="0"/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system.cpu.icache.overall_miss_rate::total" fld="3" subtotal="average" baseField="0" baseItem="0"/>
  </dataFields>
  <chartFormats count="4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2BA81-1BB7-42FE-BF7F-F575367AB5F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2">
  <location ref="A3:B34" firstHeaderRow="1" firstDataRow="1" firstDataCol="1" rowPageCount="1" colPageCount="1"/>
  <pivotFields count="15">
    <pivotField showAll="0"/>
    <pivotField showAll="0"/>
    <pivotField showAll="0"/>
    <pivotField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0"/>
        <item x="1"/>
        <item x="3"/>
        <item x="2"/>
        <item x="4"/>
        <item x="6"/>
        <item x="5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system.l2.overall_miss_rate::total" fld="4" subtotal="average" baseField="0" baseItem="0"/>
  </dataFields>
  <chartFormats count="6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E9633-4DB5-40D3-8732-7CB317451B73}">
  <sheetPr codeName="shData"/>
  <dimension ref="A1:AB171"/>
  <sheetViews>
    <sheetView workbookViewId="0">
      <selection activeCell="G2" sqref="G2"/>
    </sheetView>
  </sheetViews>
  <sheetFormatPr defaultRowHeight="15" x14ac:dyDescent="0.25"/>
  <cols>
    <col min="1" max="1" width="31.7109375" bestFit="1" customWidth="1"/>
    <col min="2" max="2" width="14.28515625" bestFit="1" customWidth="1"/>
    <col min="3" max="3" width="40.28515625" bestFit="1" customWidth="1"/>
    <col min="4" max="4" width="39.7109375" bestFit="1" customWidth="1"/>
    <col min="5" max="5" width="31.7109375" bestFit="1" customWidth="1"/>
    <col min="6" max="6" width="11.42578125" style="9" bestFit="1" customWidth="1"/>
    <col min="7" max="7" width="15.85546875" style="9" bestFit="1" customWidth="1"/>
    <col min="8" max="8" width="10.140625" style="9" bestFit="1" customWidth="1"/>
    <col min="9" max="9" width="15.85546875" style="9" bestFit="1" customWidth="1"/>
    <col min="10" max="11" width="15.42578125" style="9" bestFit="1" customWidth="1"/>
    <col min="12" max="14" width="12.7109375" style="9" bestFit="1" customWidth="1"/>
    <col min="15" max="15" width="10.85546875" style="9" bestFit="1" customWidth="1"/>
    <col min="16" max="16" width="21.5703125" style="12" bestFit="1" customWidth="1"/>
    <col min="17" max="17" width="6.5703125" style="12" bestFit="1" customWidth="1"/>
    <col min="18" max="18" width="11" style="12" bestFit="1" customWidth="1"/>
  </cols>
  <sheetData>
    <row r="1" spans="1:2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3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196</v>
      </c>
      <c r="P1" s="15" t="s">
        <v>204</v>
      </c>
      <c r="Q1" s="16" t="s">
        <v>205</v>
      </c>
      <c r="R1" s="17" t="s">
        <v>206</v>
      </c>
    </row>
    <row r="2" spans="1:28" x14ac:dyDescent="0.25">
      <c r="A2" t="s">
        <v>5</v>
      </c>
      <c r="B2">
        <v>1.7309239999999999</v>
      </c>
      <c r="C2">
        <v>2.1791000000000001E-2</v>
      </c>
      <c r="D2">
        <v>6.0999999999999999E-5</v>
      </c>
      <c r="E2">
        <v>0.196655</v>
      </c>
      <c r="F2" s="8" t="s">
        <v>185</v>
      </c>
      <c r="G2" s="9" t="s">
        <v>190</v>
      </c>
      <c r="H2" s="9">
        <v>128</v>
      </c>
      <c r="I2" s="9">
        <v>1</v>
      </c>
      <c r="J2" s="9">
        <v>32</v>
      </c>
      <c r="K2" s="9">
        <v>32</v>
      </c>
      <c r="L2" s="9">
        <v>1</v>
      </c>
      <c r="M2" s="9">
        <v>1</v>
      </c>
      <c r="N2" s="9">
        <v>2</v>
      </c>
      <c r="O2" s="9">
        <v>512</v>
      </c>
      <c r="P2" s="18">
        <f>1+(C2+D2)*(10+E2*100)+B2</f>
        <v>3.379174506</v>
      </c>
      <c r="Q2" s="21">
        <f>(J2+K2)/128*10+L2/4*10+O2/4096*1+H2/128*10</f>
        <v>17.625</v>
      </c>
      <c r="R2" s="22">
        <f>Q2*P2</f>
        <v>59.557950668250001</v>
      </c>
      <c r="T2" t="s">
        <v>175</v>
      </c>
      <c r="U2" t="s">
        <v>177</v>
      </c>
      <c r="V2" t="s">
        <v>179</v>
      </c>
      <c r="W2" t="s">
        <v>180</v>
      </c>
      <c r="X2" t="s">
        <v>181</v>
      </c>
      <c r="Y2" t="s">
        <v>182</v>
      </c>
      <c r="Z2" t="s">
        <v>183</v>
      </c>
      <c r="AA2" t="s">
        <v>196</v>
      </c>
      <c r="AB2" t="s">
        <v>206</v>
      </c>
    </row>
    <row r="3" spans="1:28" x14ac:dyDescent="0.25">
      <c r="A3" t="s">
        <v>6</v>
      </c>
      <c r="B3">
        <v>1.8363659999999999</v>
      </c>
      <c r="C3">
        <v>2.3845999999999999E-2</v>
      </c>
      <c r="D3">
        <v>9.0000000000000006E-5</v>
      </c>
      <c r="E3">
        <v>0.39927699999999999</v>
      </c>
      <c r="F3" s="8" t="s">
        <v>185</v>
      </c>
      <c r="G3" s="9" t="s">
        <v>190</v>
      </c>
      <c r="H3" s="9">
        <v>32</v>
      </c>
      <c r="I3" s="9">
        <v>1</v>
      </c>
      <c r="J3" s="9">
        <v>32</v>
      </c>
      <c r="K3" s="9">
        <v>32</v>
      </c>
      <c r="L3" s="9">
        <v>1</v>
      </c>
      <c r="M3" s="9">
        <v>1</v>
      </c>
      <c r="N3" s="9">
        <v>2</v>
      </c>
      <c r="O3" s="9">
        <v>512</v>
      </c>
      <c r="P3" s="18">
        <f t="shared" ref="P3:P66" si="0">1+(C3+D3)*(10+E3*100)+B3</f>
        <v>4.0314354271999999</v>
      </c>
      <c r="Q3" s="21">
        <f t="shared" ref="Q3:Q66" si="1">(J3+K3)/128*10+L3/4*10+O3/4096*1+H3/128*10</f>
        <v>10.125</v>
      </c>
      <c r="R3" s="22">
        <f t="shared" ref="R3:R66" si="2">Q3*P3</f>
        <v>40.818283700400002</v>
      </c>
      <c r="T3" t="s">
        <v>185</v>
      </c>
      <c r="U3">
        <v>64</v>
      </c>
      <c r="V3">
        <v>16</v>
      </c>
      <c r="W3">
        <v>16</v>
      </c>
      <c r="X3">
        <v>1</v>
      </c>
      <c r="Y3">
        <v>1</v>
      </c>
      <c r="Z3">
        <v>2</v>
      </c>
      <c r="AA3">
        <v>512</v>
      </c>
      <c r="AB3" s="26">
        <v>36.673870525650003</v>
      </c>
    </row>
    <row r="4" spans="1:28" x14ac:dyDescent="0.25">
      <c r="A4" t="s">
        <v>7</v>
      </c>
      <c r="B4">
        <v>1.727746</v>
      </c>
      <c r="C4">
        <v>2.1398E-2</v>
      </c>
      <c r="D4">
        <v>7.6000000000000004E-5</v>
      </c>
      <c r="E4">
        <v>0.27181100000000002</v>
      </c>
      <c r="F4" s="8" t="s">
        <v>185</v>
      </c>
      <c r="G4" s="9" t="s">
        <v>190</v>
      </c>
      <c r="H4" s="9">
        <v>64</v>
      </c>
      <c r="I4" s="9">
        <v>1</v>
      </c>
      <c r="J4" s="9">
        <v>32</v>
      </c>
      <c r="K4" s="9">
        <v>32</v>
      </c>
      <c r="L4" s="9">
        <v>1</v>
      </c>
      <c r="M4" s="9">
        <v>1</v>
      </c>
      <c r="N4" s="9">
        <v>2</v>
      </c>
      <c r="O4" s="9">
        <v>512</v>
      </c>
      <c r="P4" s="18">
        <f t="shared" si="0"/>
        <v>3.5261729414</v>
      </c>
      <c r="Q4" s="21">
        <f t="shared" si="1"/>
        <v>12.625</v>
      </c>
      <c r="R4" s="22">
        <f t="shared" si="2"/>
        <v>44.517933385174999</v>
      </c>
      <c r="T4" t="s">
        <v>186</v>
      </c>
      <c r="U4">
        <v>64</v>
      </c>
      <c r="V4">
        <v>16</v>
      </c>
      <c r="W4">
        <v>16</v>
      </c>
      <c r="X4">
        <v>1</v>
      </c>
      <c r="Y4">
        <v>1</v>
      </c>
      <c r="Z4">
        <v>2</v>
      </c>
      <c r="AA4">
        <v>512</v>
      </c>
      <c r="AB4" s="26">
        <v>190.91419776956252</v>
      </c>
    </row>
    <row r="5" spans="1:28" x14ac:dyDescent="0.25">
      <c r="A5" t="s">
        <v>8</v>
      </c>
      <c r="B5">
        <v>1.727746</v>
      </c>
      <c r="C5">
        <v>2.1398E-2</v>
      </c>
      <c r="D5">
        <v>7.6000000000000004E-5</v>
      </c>
      <c r="E5">
        <v>0.27181100000000002</v>
      </c>
      <c r="F5" s="8" t="s">
        <v>185</v>
      </c>
      <c r="G5" s="9" t="s">
        <v>195</v>
      </c>
      <c r="H5" s="9">
        <v>64</v>
      </c>
      <c r="I5" s="9">
        <v>1</v>
      </c>
      <c r="J5" s="9">
        <v>32</v>
      </c>
      <c r="K5" s="9">
        <v>32</v>
      </c>
      <c r="L5" s="9">
        <v>1</v>
      </c>
      <c r="M5" s="9">
        <v>1</v>
      </c>
      <c r="N5" s="9">
        <v>2</v>
      </c>
      <c r="O5" s="9">
        <v>512</v>
      </c>
      <c r="P5" s="18">
        <f t="shared" si="0"/>
        <v>3.5261729414</v>
      </c>
      <c r="Q5" s="21">
        <f t="shared" si="1"/>
        <v>12.625</v>
      </c>
      <c r="R5" s="22">
        <f t="shared" si="2"/>
        <v>44.517933385174999</v>
      </c>
      <c r="T5" t="s">
        <v>187</v>
      </c>
      <c r="U5">
        <v>64</v>
      </c>
      <c r="V5">
        <v>16</v>
      </c>
      <c r="W5">
        <v>16</v>
      </c>
      <c r="X5">
        <v>1</v>
      </c>
      <c r="Y5">
        <v>1</v>
      </c>
      <c r="Z5">
        <v>2</v>
      </c>
      <c r="AA5">
        <v>512</v>
      </c>
      <c r="AB5" s="26">
        <v>216.98830872292498</v>
      </c>
    </row>
    <row r="6" spans="1:28" x14ac:dyDescent="0.25">
      <c r="A6" t="s">
        <v>9</v>
      </c>
      <c r="B6">
        <v>1.6570780000000001</v>
      </c>
      <c r="C6">
        <v>1.4063000000000001E-2</v>
      </c>
      <c r="D6">
        <v>7.2000000000000002E-5</v>
      </c>
      <c r="E6">
        <v>0.42174299999999998</v>
      </c>
      <c r="F6" s="8" t="s">
        <v>185</v>
      </c>
      <c r="G6" s="9" t="s">
        <v>191</v>
      </c>
      <c r="H6" s="9">
        <v>64</v>
      </c>
      <c r="I6" s="9">
        <v>1</v>
      </c>
      <c r="J6" s="9">
        <v>128</v>
      </c>
      <c r="K6" s="9">
        <v>128</v>
      </c>
      <c r="L6" s="9">
        <v>1</v>
      </c>
      <c r="M6" s="9">
        <v>1</v>
      </c>
      <c r="N6" s="9">
        <v>2</v>
      </c>
      <c r="O6" s="9">
        <v>512</v>
      </c>
      <c r="P6" s="18">
        <f t="shared" si="0"/>
        <v>3.3945617305</v>
      </c>
      <c r="Q6" s="21">
        <f t="shared" si="1"/>
        <v>27.625</v>
      </c>
      <c r="R6" s="22">
        <f t="shared" si="2"/>
        <v>93.774767805062496</v>
      </c>
      <c r="T6" t="s">
        <v>188</v>
      </c>
      <c r="U6">
        <v>32</v>
      </c>
      <c r="V6">
        <v>32</v>
      </c>
      <c r="W6">
        <v>32</v>
      </c>
      <c r="X6">
        <v>1</v>
      </c>
      <c r="Y6">
        <v>1</v>
      </c>
      <c r="Z6">
        <v>2</v>
      </c>
      <c r="AA6">
        <v>512</v>
      </c>
      <c r="AB6" s="26">
        <v>25.009444510199998</v>
      </c>
    </row>
    <row r="7" spans="1:28" x14ac:dyDescent="0.25">
      <c r="A7" t="s">
        <v>10</v>
      </c>
      <c r="B7">
        <v>1.657357</v>
      </c>
      <c r="C7">
        <v>1.4061000000000001E-2</v>
      </c>
      <c r="D7">
        <v>2.5399999999999999E-4</v>
      </c>
      <c r="E7">
        <v>0.420709</v>
      </c>
      <c r="F7" s="8" t="s">
        <v>185</v>
      </c>
      <c r="G7" s="9" t="s">
        <v>191</v>
      </c>
      <c r="H7" s="9">
        <v>64</v>
      </c>
      <c r="I7" s="9">
        <v>1</v>
      </c>
      <c r="J7" s="9">
        <v>128</v>
      </c>
      <c r="K7" s="9">
        <v>16</v>
      </c>
      <c r="L7" s="9">
        <v>1</v>
      </c>
      <c r="M7" s="9">
        <v>1</v>
      </c>
      <c r="N7" s="9">
        <v>2</v>
      </c>
      <c r="O7" s="9">
        <v>512</v>
      </c>
      <c r="P7" s="18">
        <f t="shared" si="0"/>
        <v>3.4027519335000003</v>
      </c>
      <c r="Q7" s="21">
        <f t="shared" si="1"/>
        <v>18.875</v>
      </c>
      <c r="R7" s="22">
        <f t="shared" si="2"/>
        <v>64.226942744812504</v>
      </c>
      <c r="T7" t="s">
        <v>189</v>
      </c>
      <c r="U7">
        <v>32</v>
      </c>
      <c r="V7">
        <v>32</v>
      </c>
      <c r="W7">
        <v>32</v>
      </c>
      <c r="X7">
        <v>1</v>
      </c>
      <c r="Y7">
        <v>1</v>
      </c>
      <c r="Z7">
        <v>2</v>
      </c>
      <c r="AA7">
        <v>512</v>
      </c>
      <c r="AB7" s="26">
        <v>23.4872018712</v>
      </c>
    </row>
    <row r="8" spans="1:28" x14ac:dyDescent="0.25">
      <c r="A8" t="s">
        <v>11</v>
      </c>
      <c r="B8">
        <v>1.6571560000000001</v>
      </c>
      <c r="C8">
        <v>1.4063000000000001E-2</v>
      </c>
      <c r="D8">
        <v>8.6000000000000003E-5</v>
      </c>
      <c r="E8">
        <v>0.42169699999999999</v>
      </c>
      <c r="F8" s="8" t="s">
        <v>185</v>
      </c>
      <c r="G8" s="9" t="s">
        <v>191</v>
      </c>
      <c r="H8" s="9">
        <v>64</v>
      </c>
      <c r="I8" s="9">
        <v>1</v>
      </c>
      <c r="J8" s="9">
        <v>128</v>
      </c>
      <c r="K8" s="9">
        <v>32</v>
      </c>
      <c r="L8" s="9">
        <v>1</v>
      </c>
      <c r="M8" s="9">
        <v>1</v>
      </c>
      <c r="N8" s="9">
        <v>2</v>
      </c>
      <c r="O8" s="9">
        <v>512</v>
      </c>
      <c r="P8" s="18">
        <f t="shared" si="0"/>
        <v>3.3953050853</v>
      </c>
      <c r="Q8" s="21">
        <f t="shared" si="1"/>
        <v>20.125</v>
      </c>
      <c r="R8" s="22">
        <f t="shared" si="2"/>
        <v>68.330514841662506</v>
      </c>
    </row>
    <row r="9" spans="1:28" x14ac:dyDescent="0.25">
      <c r="A9" t="s">
        <v>12</v>
      </c>
      <c r="B9">
        <v>1.6570780000000001</v>
      </c>
      <c r="C9">
        <v>1.4061000000000001E-2</v>
      </c>
      <c r="D9">
        <v>7.6000000000000004E-5</v>
      </c>
      <c r="E9">
        <v>0.421736</v>
      </c>
      <c r="F9" s="8" t="s">
        <v>185</v>
      </c>
      <c r="G9" s="9" t="s">
        <v>191</v>
      </c>
      <c r="H9" s="9">
        <v>64</v>
      </c>
      <c r="I9" s="9">
        <v>1</v>
      </c>
      <c r="J9" s="9">
        <v>128</v>
      </c>
      <c r="K9" s="9">
        <v>64</v>
      </c>
      <c r="L9" s="9">
        <v>1</v>
      </c>
      <c r="M9" s="9">
        <v>1</v>
      </c>
      <c r="N9" s="9">
        <v>2</v>
      </c>
      <c r="O9" s="9">
        <v>512</v>
      </c>
      <c r="P9" s="18">
        <f t="shared" si="0"/>
        <v>3.3946561832000004</v>
      </c>
      <c r="Q9" s="21">
        <f t="shared" si="1"/>
        <v>22.625</v>
      </c>
      <c r="R9" s="22">
        <f t="shared" si="2"/>
        <v>76.804096144900015</v>
      </c>
    </row>
    <row r="10" spans="1:28" x14ac:dyDescent="0.25">
      <c r="A10" t="s">
        <v>13</v>
      </c>
      <c r="B10">
        <v>1.7735300000000001</v>
      </c>
      <c r="C10">
        <v>2.6154E-2</v>
      </c>
      <c r="D10">
        <v>7.2000000000000002E-5</v>
      </c>
      <c r="E10">
        <v>0.22145599999999999</v>
      </c>
      <c r="F10" s="8" t="s">
        <v>185</v>
      </c>
      <c r="G10" s="9" t="s">
        <v>191</v>
      </c>
      <c r="H10" s="9">
        <v>64</v>
      </c>
      <c r="I10" s="9">
        <v>1</v>
      </c>
      <c r="J10" s="9">
        <v>16</v>
      </c>
      <c r="K10" s="9">
        <v>128</v>
      </c>
      <c r="L10" s="9">
        <v>1</v>
      </c>
      <c r="M10" s="9">
        <v>1</v>
      </c>
      <c r="N10" s="9">
        <v>2</v>
      </c>
      <c r="O10" s="9">
        <v>512</v>
      </c>
      <c r="P10" s="18">
        <f t="shared" si="0"/>
        <v>3.6165805056</v>
      </c>
      <c r="Q10" s="21">
        <f t="shared" si="1"/>
        <v>18.875</v>
      </c>
      <c r="R10" s="22">
        <f t="shared" si="2"/>
        <v>68.262957043200004</v>
      </c>
    </row>
    <row r="11" spans="1:28" x14ac:dyDescent="0.25">
      <c r="A11" t="s">
        <v>14</v>
      </c>
      <c r="B11">
        <v>1.7737810000000001</v>
      </c>
      <c r="C11">
        <v>2.6152000000000002E-2</v>
      </c>
      <c r="D11">
        <v>2.5999999999999998E-4</v>
      </c>
      <c r="E11">
        <v>0.221191</v>
      </c>
      <c r="F11" s="8" t="s">
        <v>185</v>
      </c>
      <c r="G11" s="9" t="s">
        <v>191</v>
      </c>
      <c r="H11" s="9">
        <v>64</v>
      </c>
      <c r="I11" s="9">
        <v>1</v>
      </c>
      <c r="J11" s="9">
        <v>16</v>
      </c>
      <c r="K11" s="9">
        <v>16</v>
      </c>
      <c r="L11" s="9">
        <v>1</v>
      </c>
      <c r="M11" s="9">
        <v>1</v>
      </c>
      <c r="N11" s="9">
        <v>2</v>
      </c>
      <c r="O11" s="9">
        <v>512</v>
      </c>
      <c r="P11" s="18">
        <f t="shared" si="0"/>
        <v>3.6221106692</v>
      </c>
      <c r="Q11" s="21">
        <f t="shared" si="1"/>
        <v>10.125</v>
      </c>
      <c r="R11" s="22">
        <f t="shared" si="2"/>
        <v>36.673870525650003</v>
      </c>
    </row>
    <row r="12" spans="1:28" x14ac:dyDescent="0.25">
      <c r="A12" t="s">
        <v>15</v>
      </c>
      <c r="B12">
        <v>1.7736080000000001</v>
      </c>
      <c r="C12">
        <v>2.6154E-2</v>
      </c>
      <c r="D12">
        <v>8.6000000000000003E-5</v>
      </c>
      <c r="E12">
        <v>0.22145300000000001</v>
      </c>
      <c r="F12" s="8" t="s">
        <v>185</v>
      </c>
      <c r="G12" s="9" t="s">
        <v>191</v>
      </c>
      <c r="H12" s="9">
        <v>64</v>
      </c>
      <c r="I12" s="9">
        <v>1</v>
      </c>
      <c r="J12" s="9">
        <v>16</v>
      </c>
      <c r="K12" s="9">
        <v>32</v>
      </c>
      <c r="L12" s="9">
        <v>1</v>
      </c>
      <c r="M12" s="9">
        <v>1</v>
      </c>
      <c r="N12" s="9">
        <v>2</v>
      </c>
      <c r="O12" s="9">
        <v>512</v>
      </c>
      <c r="P12" s="18">
        <f t="shared" si="0"/>
        <v>3.6171006720000003</v>
      </c>
      <c r="Q12" s="21">
        <f t="shared" si="1"/>
        <v>11.375</v>
      </c>
      <c r="R12" s="22">
        <f t="shared" si="2"/>
        <v>41.144520144000005</v>
      </c>
    </row>
    <row r="13" spans="1:28" x14ac:dyDescent="0.25">
      <c r="A13" t="s">
        <v>16</v>
      </c>
      <c r="B13">
        <v>1.7736149999999999</v>
      </c>
      <c r="C13">
        <v>2.6152999999999999E-2</v>
      </c>
      <c r="D13">
        <v>7.6000000000000004E-5</v>
      </c>
      <c r="E13">
        <v>0.22145599999999999</v>
      </c>
      <c r="F13" s="8" t="s">
        <v>185</v>
      </c>
      <c r="G13" s="9" t="s">
        <v>191</v>
      </c>
      <c r="H13" s="9">
        <v>64</v>
      </c>
      <c r="I13" s="9">
        <v>1</v>
      </c>
      <c r="J13" s="9">
        <v>16</v>
      </c>
      <c r="K13" s="9">
        <v>64</v>
      </c>
      <c r="L13" s="9">
        <v>1</v>
      </c>
      <c r="M13" s="9">
        <v>1</v>
      </c>
      <c r="N13" s="9">
        <v>2</v>
      </c>
      <c r="O13" s="9">
        <v>512</v>
      </c>
      <c r="P13" s="18">
        <f t="shared" si="0"/>
        <v>3.6167619424000002</v>
      </c>
      <c r="Q13" s="21">
        <f t="shared" si="1"/>
        <v>13.875</v>
      </c>
      <c r="R13" s="22">
        <f t="shared" si="2"/>
        <v>50.182571950800003</v>
      </c>
    </row>
    <row r="14" spans="1:28" x14ac:dyDescent="0.25">
      <c r="A14" t="s">
        <v>17</v>
      </c>
      <c r="B14">
        <v>1.727746</v>
      </c>
      <c r="C14">
        <v>2.1398E-2</v>
      </c>
      <c r="D14">
        <v>7.2000000000000002E-5</v>
      </c>
      <c r="E14">
        <v>0.271812</v>
      </c>
      <c r="F14" s="8" t="s">
        <v>185</v>
      </c>
      <c r="G14" s="9" t="s">
        <v>191</v>
      </c>
      <c r="H14" s="9">
        <v>64</v>
      </c>
      <c r="I14" s="9">
        <v>1</v>
      </c>
      <c r="J14" s="9">
        <v>32</v>
      </c>
      <c r="K14" s="9">
        <v>128</v>
      </c>
      <c r="L14" s="9">
        <v>1</v>
      </c>
      <c r="M14" s="9">
        <v>1</v>
      </c>
      <c r="N14" s="9">
        <v>2</v>
      </c>
      <c r="O14" s="9">
        <v>512</v>
      </c>
      <c r="P14" s="18">
        <f t="shared" si="0"/>
        <v>3.5260263639999998</v>
      </c>
      <c r="Q14" s="21">
        <f t="shared" si="1"/>
        <v>20.125</v>
      </c>
      <c r="R14" s="22">
        <f t="shared" si="2"/>
        <v>70.961280575499998</v>
      </c>
    </row>
    <row r="15" spans="1:28" x14ac:dyDescent="0.25">
      <c r="A15" t="s">
        <v>18</v>
      </c>
      <c r="B15">
        <v>1.72793</v>
      </c>
      <c r="C15">
        <v>2.1395999999999998E-2</v>
      </c>
      <c r="D15">
        <v>2.5399999999999999E-4</v>
      </c>
      <c r="E15">
        <v>0.27140900000000001</v>
      </c>
      <c r="F15" s="8" t="s">
        <v>185</v>
      </c>
      <c r="G15" s="9" t="s">
        <v>191</v>
      </c>
      <c r="H15" s="9">
        <v>64</v>
      </c>
      <c r="I15" s="9">
        <v>1</v>
      </c>
      <c r="J15" s="9">
        <v>32</v>
      </c>
      <c r="K15" s="9">
        <v>16</v>
      </c>
      <c r="L15" s="9">
        <v>1</v>
      </c>
      <c r="M15" s="9">
        <v>1</v>
      </c>
      <c r="N15" s="9">
        <v>2</v>
      </c>
      <c r="O15" s="9">
        <v>512</v>
      </c>
      <c r="P15" s="18">
        <f t="shared" si="0"/>
        <v>3.5320304849999999</v>
      </c>
      <c r="Q15" s="21">
        <f t="shared" si="1"/>
        <v>11.375</v>
      </c>
      <c r="R15" s="22">
        <f t="shared" si="2"/>
        <v>40.176846766875002</v>
      </c>
    </row>
    <row r="16" spans="1:28" x14ac:dyDescent="0.25">
      <c r="A16" t="s">
        <v>19</v>
      </c>
      <c r="B16">
        <v>1.7277739999999999</v>
      </c>
      <c r="C16">
        <v>2.1398E-2</v>
      </c>
      <c r="D16">
        <v>8.6000000000000003E-5</v>
      </c>
      <c r="E16">
        <v>0.27180100000000001</v>
      </c>
      <c r="F16" s="8" t="s">
        <v>185</v>
      </c>
      <c r="G16" s="9" t="s">
        <v>191</v>
      </c>
      <c r="H16" s="9">
        <v>64</v>
      </c>
      <c r="I16" s="9">
        <v>1</v>
      </c>
      <c r="J16" s="9">
        <v>32</v>
      </c>
      <c r="K16" s="9">
        <v>32</v>
      </c>
      <c r="L16" s="9">
        <v>1</v>
      </c>
      <c r="M16" s="9">
        <v>1</v>
      </c>
      <c r="N16" s="9">
        <v>2</v>
      </c>
      <c r="O16" s="9">
        <v>512</v>
      </c>
      <c r="P16" s="18">
        <f t="shared" si="0"/>
        <v>3.5265512684</v>
      </c>
      <c r="Q16" s="21">
        <f t="shared" si="1"/>
        <v>12.625</v>
      </c>
      <c r="R16" s="22">
        <f t="shared" si="2"/>
        <v>44.522709763549997</v>
      </c>
    </row>
    <row r="17" spans="1:18" x14ac:dyDescent="0.25">
      <c r="A17" t="s">
        <v>20</v>
      </c>
      <c r="B17">
        <v>1.727746</v>
      </c>
      <c r="C17">
        <v>2.1398E-2</v>
      </c>
      <c r="D17">
        <v>7.6000000000000004E-5</v>
      </c>
      <c r="E17">
        <v>0.27181100000000002</v>
      </c>
      <c r="F17" s="8" t="s">
        <v>185</v>
      </c>
      <c r="G17" s="9" t="s">
        <v>191</v>
      </c>
      <c r="H17" s="9">
        <v>64</v>
      </c>
      <c r="I17" s="9">
        <v>1</v>
      </c>
      <c r="J17" s="9">
        <v>32</v>
      </c>
      <c r="K17" s="9">
        <v>64</v>
      </c>
      <c r="L17" s="9">
        <v>1</v>
      </c>
      <c r="M17" s="9">
        <v>1</v>
      </c>
      <c r="N17" s="9">
        <v>2</v>
      </c>
      <c r="O17" s="9">
        <v>512</v>
      </c>
      <c r="P17" s="18">
        <f t="shared" si="0"/>
        <v>3.5261729414</v>
      </c>
      <c r="Q17" s="21">
        <f t="shared" si="1"/>
        <v>15.125</v>
      </c>
      <c r="R17" s="22">
        <f t="shared" si="2"/>
        <v>53.333365738674999</v>
      </c>
    </row>
    <row r="18" spans="1:18" x14ac:dyDescent="0.25">
      <c r="A18" t="s">
        <v>21</v>
      </c>
      <c r="B18">
        <v>1.693686</v>
      </c>
      <c r="C18">
        <v>1.7753999999999999E-2</v>
      </c>
      <c r="D18">
        <v>7.2000000000000002E-5</v>
      </c>
      <c r="E18">
        <v>0.32970300000000002</v>
      </c>
      <c r="F18" s="8" t="s">
        <v>185</v>
      </c>
      <c r="G18" s="9" t="s">
        <v>191</v>
      </c>
      <c r="H18" s="9">
        <v>64</v>
      </c>
      <c r="I18" s="9">
        <v>1</v>
      </c>
      <c r="J18" s="9">
        <v>64</v>
      </c>
      <c r="K18" s="9">
        <v>128</v>
      </c>
      <c r="L18" s="9">
        <v>1</v>
      </c>
      <c r="M18" s="9">
        <v>1</v>
      </c>
      <c r="N18" s="9">
        <v>2</v>
      </c>
      <c r="O18" s="9">
        <v>512</v>
      </c>
      <c r="P18" s="18">
        <f t="shared" si="0"/>
        <v>3.4596745678</v>
      </c>
      <c r="Q18" s="21">
        <f t="shared" si="1"/>
        <v>22.625</v>
      </c>
      <c r="R18" s="22">
        <f t="shared" si="2"/>
        <v>78.275137096475007</v>
      </c>
    </row>
    <row r="19" spans="1:18" x14ac:dyDescent="0.25">
      <c r="A19" t="s">
        <v>22</v>
      </c>
      <c r="B19">
        <v>1.693845</v>
      </c>
      <c r="C19">
        <v>1.7753999999999999E-2</v>
      </c>
      <c r="D19">
        <v>2.5399999999999999E-4</v>
      </c>
      <c r="E19">
        <v>0.32909899999999997</v>
      </c>
      <c r="F19" s="8" t="s">
        <v>185</v>
      </c>
      <c r="G19" s="9" t="s">
        <v>191</v>
      </c>
      <c r="H19" s="9">
        <v>64</v>
      </c>
      <c r="I19" s="9">
        <v>1</v>
      </c>
      <c r="J19" s="9">
        <v>64</v>
      </c>
      <c r="K19" s="9">
        <v>16</v>
      </c>
      <c r="L19" s="9">
        <v>1</v>
      </c>
      <c r="M19" s="9">
        <v>1</v>
      </c>
      <c r="N19" s="9">
        <v>2</v>
      </c>
      <c r="O19" s="9">
        <v>512</v>
      </c>
      <c r="P19" s="18">
        <f t="shared" si="0"/>
        <v>3.4665664791999999</v>
      </c>
      <c r="Q19" s="21">
        <f t="shared" si="1"/>
        <v>13.875</v>
      </c>
      <c r="R19" s="22">
        <f t="shared" si="2"/>
        <v>48.098609898900001</v>
      </c>
    </row>
    <row r="20" spans="1:18" x14ac:dyDescent="0.25">
      <c r="A20" t="s">
        <v>23</v>
      </c>
      <c r="B20">
        <v>1.693587</v>
      </c>
      <c r="C20">
        <v>1.7753999999999999E-2</v>
      </c>
      <c r="D20">
        <v>8.6000000000000003E-5</v>
      </c>
      <c r="E20">
        <v>0.329683</v>
      </c>
      <c r="F20" s="8" t="s">
        <v>185</v>
      </c>
      <c r="G20" s="9" t="s">
        <v>191</v>
      </c>
      <c r="H20" s="9">
        <v>64</v>
      </c>
      <c r="I20" s="9">
        <v>1</v>
      </c>
      <c r="J20" s="9">
        <v>64</v>
      </c>
      <c r="K20" s="9">
        <v>32</v>
      </c>
      <c r="L20" s="9">
        <v>1</v>
      </c>
      <c r="M20" s="9">
        <v>1</v>
      </c>
      <c r="N20" s="9">
        <v>2</v>
      </c>
      <c r="O20" s="9">
        <v>512</v>
      </c>
      <c r="P20" s="18">
        <f t="shared" si="0"/>
        <v>3.4601414720000001</v>
      </c>
      <c r="Q20" s="21">
        <f t="shared" si="1"/>
        <v>15.125</v>
      </c>
      <c r="R20" s="22">
        <f t="shared" si="2"/>
        <v>52.334639764000002</v>
      </c>
    </row>
    <row r="21" spans="1:18" x14ac:dyDescent="0.25">
      <c r="A21" t="s">
        <v>24</v>
      </c>
      <c r="B21">
        <v>1.693686</v>
      </c>
      <c r="C21">
        <v>1.7753999999999999E-2</v>
      </c>
      <c r="D21">
        <v>7.6000000000000004E-5</v>
      </c>
      <c r="E21">
        <v>0.329702</v>
      </c>
      <c r="F21" s="8" t="s">
        <v>185</v>
      </c>
      <c r="G21" s="9" t="s">
        <v>191</v>
      </c>
      <c r="H21" s="9">
        <v>64</v>
      </c>
      <c r="I21" s="9">
        <v>1</v>
      </c>
      <c r="J21" s="9">
        <v>64</v>
      </c>
      <c r="K21" s="9">
        <v>64</v>
      </c>
      <c r="L21" s="9">
        <v>1</v>
      </c>
      <c r="M21" s="9">
        <v>1</v>
      </c>
      <c r="N21" s="9">
        <v>2</v>
      </c>
      <c r="O21" s="9">
        <v>512</v>
      </c>
      <c r="P21" s="18">
        <f t="shared" si="0"/>
        <v>3.459844666</v>
      </c>
      <c r="Q21" s="21">
        <f t="shared" si="1"/>
        <v>17.625</v>
      </c>
      <c r="R21" s="22">
        <f t="shared" si="2"/>
        <v>60.979762238249997</v>
      </c>
    </row>
    <row r="22" spans="1:18" x14ac:dyDescent="0.25">
      <c r="A22" t="s">
        <v>25</v>
      </c>
      <c r="B22">
        <v>1.727746</v>
      </c>
      <c r="C22">
        <v>2.1398E-2</v>
      </c>
      <c r="D22">
        <v>7.6000000000000004E-5</v>
      </c>
      <c r="E22">
        <v>0.27181100000000002</v>
      </c>
      <c r="F22" s="8" t="s">
        <v>185</v>
      </c>
      <c r="G22" s="9" t="s">
        <v>192</v>
      </c>
      <c r="H22" s="9">
        <v>64</v>
      </c>
      <c r="I22" s="9">
        <v>1</v>
      </c>
      <c r="J22" s="9">
        <v>32</v>
      </c>
      <c r="K22" s="9">
        <v>32</v>
      </c>
      <c r="L22" s="9">
        <v>1</v>
      </c>
      <c r="M22" s="9">
        <v>1</v>
      </c>
      <c r="N22" s="9">
        <v>2</v>
      </c>
      <c r="O22" s="9">
        <v>512</v>
      </c>
      <c r="P22" s="18">
        <f t="shared" si="0"/>
        <v>3.5261729414</v>
      </c>
      <c r="Q22" s="21">
        <f t="shared" si="1"/>
        <v>12.625</v>
      </c>
      <c r="R22" s="22">
        <f t="shared" si="2"/>
        <v>44.517933385174999</v>
      </c>
    </row>
    <row r="23" spans="1:18" x14ac:dyDescent="0.25">
      <c r="A23" t="s">
        <v>26</v>
      </c>
      <c r="B23">
        <v>1.688318</v>
      </c>
      <c r="C23">
        <v>1.7826000000000002E-2</v>
      </c>
      <c r="D23">
        <v>7.6000000000000004E-5</v>
      </c>
      <c r="E23">
        <v>0.32708500000000001</v>
      </c>
      <c r="F23" s="8" t="s">
        <v>185</v>
      </c>
      <c r="G23" s="9" t="s">
        <v>192</v>
      </c>
      <c r="H23" s="9">
        <v>64</v>
      </c>
      <c r="I23" s="9">
        <v>1</v>
      </c>
      <c r="J23" s="9">
        <v>32</v>
      </c>
      <c r="K23" s="9">
        <v>32</v>
      </c>
      <c r="L23" s="9">
        <v>2</v>
      </c>
      <c r="M23" s="9">
        <v>1</v>
      </c>
      <c r="N23" s="9">
        <v>2</v>
      </c>
      <c r="O23" s="9">
        <v>512</v>
      </c>
      <c r="P23" s="18">
        <f t="shared" si="0"/>
        <v>3.452885567</v>
      </c>
      <c r="Q23" s="21">
        <f t="shared" si="1"/>
        <v>15.125</v>
      </c>
      <c r="R23" s="22">
        <f t="shared" si="2"/>
        <v>52.224894200874999</v>
      </c>
    </row>
    <row r="24" spans="1:18" x14ac:dyDescent="0.25">
      <c r="A24" t="s">
        <v>27</v>
      </c>
      <c r="B24">
        <v>1.67506</v>
      </c>
      <c r="C24">
        <v>1.6514999999999998E-2</v>
      </c>
      <c r="D24">
        <v>7.6000000000000004E-5</v>
      </c>
      <c r="E24">
        <v>0.35416300000000001</v>
      </c>
      <c r="F24" s="8" t="s">
        <v>185</v>
      </c>
      <c r="G24" s="9" t="s">
        <v>192</v>
      </c>
      <c r="H24" s="9">
        <v>64</v>
      </c>
      <c r="I24" s="9">
        <v>1</v>
      </c>
      <c r="J24" s="9">
        <v>32</v>
      </c>
      <c r="K24" s="9">
        <v>32</v>
      </c>
      <c r="L24" s="9">
        <v>4</v>
      </c>
      <c r="M24" s="9">
        <v>1</v>
      </c>
      <c r="N24" s="9">
        <v>2</v>
      </c>
      <c r="O24" s="9">
        <v>512</v>
      </c>
      <c r="P24" s="18">
        <f t="shared" si="0"/>
        <v>3.4285618332999999</v>
      </c>
      <c r="Q24" s="21">
        <f t="shared" si="1"/>
        <v>20.125</v>
      </c>
      <c r="R24" s="22">
        <f t="shared" si="2"/>
        <v>68.999806895162493</v>
      </c>
    </row>
    <row r="25" spans="1:18" x14ac:dyDescent="0.25">
      <c r="A25" t="s">
        <v>28</v>
      </c>
      <c r="B25">
        <v>1.727746</v>
      </c>
      <c r="C25">
        <v>2.1398E-2</v>
      </c>
      <c r="D25">
        <v>7.6000000000000004E-5</v>
      </c>
      <c r="E25">
        <v>0.27181100000000002</v>
      </c>
      <c r="F25" s="8" t="s">
        <v>185</v>
      </c>
      <c r="G25" s="9" t="s">
        <v>193</v>
      </c>
      <c r="H25" s="9">
        <v>64</v>
      </c>
      <c r="I25" s="9">
        <v>1</v>
      </c>
      <c r="J25" s="9">
        <v>32</v>
      </c>
      <c r="K25" s="9">
        <v>32</v>
      </c>
      <c r="L25" s="9">
        <v>1</v>
      </c>
      <c r="M25" s="9">
        <v>1</v>
      </c>
      <c r="N25" s="9">
        <v>2</v>
      </c>
      <c r="O25" s="9">
        <v>512</v>
      </c>
      <c r="P25" s="18">
        <f t="shared" si="0"/>
        <v>3.5261729414</v>
      </c>
      <c r="Q25" s="21">
        <f t="shared" si="1"/>
        <v>12.625</v>
      </c>
      <c r="R25" s="22">
        <f t="shared" si="2"/>
        <v>44.517933385174999</v>
      </c>
    </row>
    <row r="26" spans="1:18" x14ac:dyDescent="0.25">
      <c r="A26" t="s">
        <v>29</v>
      </c>
      <c r="B26">
        <v>1.7276959999999999</v>
      </c>
      <c r="C26">
        <v>2.1395999999999998E-2</v>
      </c>
      <c r="D26">
        <v>6.9999999999999994E-5</v>
      </c>
      <c r="E26">
        <v>0.27180599999999999</v>
      </c>
      <c r="F26" s="8" t="s">
        <v>185</v>
      </c>
      <c r="G26" s="9" t="s">
        <v>193</v>
      </c>
      <c r="H26" s="9">
        <v>64</v>
      </c>
      <c r="I26" s="9">
        <v>1</v>
      </c>
      <c r="J26" s="9">
        <v>32</v>
      </c>
      <c r="K26" s="9">
        <v>32</v>
      </c>
      <c r="L26" s="9">
        <v>1</v>
      </c>
      <c r="M26" s="9">
        <v>2</v>
      </c>
      <c r="N26" s="9">
        <v>2</v>
      </c>
      <c r="O26" s="9">
        <v>512</v>
      </c>
      <c r="P26" s="18">
        <f t="shared" si="0"/>
        <v>3.5258147595999998</v>
      </c>
      <c r="Q26" s="21">
        <f t="shared" si="1"/>
        <v>12.625</v>
      </c>
      <c r="R26" s="22">
        <f t="shared" si="2"/>
        <v>44.513411339949997</v>
      </c>
    </row>
    <row r="27" spans="1:18" x14ac:dyDescent="0.25">
      <c r="A27" t="s">
        <v>30</v>
      </c>
      <c r="B27">
        <v>1.7277910000000001</v>
      </c>
      <c r="C27">
        <v>2.1396999999999999E-2</v>
      </c>
      <c r="D27">
        <v>6.7000000000000002E-5</v>
      </c>
      <c r="E27">
        <v>0.27181300000000003</v>
      </c>
      <c r="F27" s="8" t="s">
        <v>185</v>
      </c>
      <c r="G27" s="9" t="s">
        <v>193</v>
      </c>
      <c r="H27" s="9">
        <v>64</v>
      </c>
      <c r="I27" s="9">
        <v>1</v>
      </c>
      <c r="J27" s="9">
        <v>32</v>
      </c>
      <c r="K27" s="9">
        <v>32</v>
      </c>
      <c r="L27" s="9">
        <v>1</v>
      </c>
      <c r="M27" s="9">
        <v>4</v>
      </c>
      <c r="N27" s="9">
        <v>2</v>
      </c>
      <c r="O27" s="9">
        <v>512</v>
      </c>
      <c r="P27" s="18">
        <f t="shared" si="0"/>
        <v>3.5258504232000005</v>
      </c>
      <c r="Q27" s="21">
        <f t="shared" si="1"/>
        <v>12.625</v>
      </c>
      <c r="R27" s="22">
        <f t="shared" si="2"/>
        <v>44.513861592900007</v>
      </c>
    </row>
    <row r="28" spans="1:18" x14ac:dyDescent="0.25">
      <c r="A28" t="s">
        <v>31</v>
      </c>
      <c r="B28">
        <v>1.7450319999999999</v>
      </c>
      <c r="C28">
        <v>2.1366E-2</v>
      </c>
      <c r="D28">
        <v>7.6000000000000004E-5</v>
      </c>
      <c r="E28">
        <v>0.30058699999999999</v>
      </c>
      <c r="F28" s="8" t="s">
        <v>185</v>
      </c>
      <c r="G28" s="9" t="s">
        <v>194</v>
      </c>
      <c r="H28" s="9">
        <v>64</v>
      </c>
      <c r="I28" s="9">
        <v>1</v>
      </c>
      <c r="J28" s="9">
        <v>32</v>
      </c>
      <c r="K28" s="9">
        <v>32</v>
      </c>
      <c r="L28" s="9">
        <v>1</v>
      </c>
      <c r="M28" s="9">
        <v>1</v>
      </c>
      <c r="N28" s="9">
        <v>1</v>
      </c>
      <c r="O28" s="9">
        <v>512</v>
      </c>
      <c r="P28" s="18">
        <f t="shared" si="0"/>
        <v>3.6039706453999996</v>
      </c>
      <c r="Q28" s="21">
        <f t="shared" si="1"/>
        <v>12.625</v>
      </c>
      <c r="R28" s="22">
        <f t="shared" si="2"/>
        <v>45.500129398174991</v>
      </c>
    </row>
    <row r="29" spans="1:18" x14ac:dyDescent="0.25">
      <c r="A29" t="s">
        <v>32</v>
      </c>
      <c r="B29">
        <v>1.727746</v>
      </c>
      <c r="C29">
        <v>2.1398E-2</v>
      </c>
      <c r="D29">
        <v>7.6000000000000004E-5</v>
      </c>
      <c r="E29">
        <v>0.27181100000000002</v>
      </c>
      <c r="F29" s="8" t="s">
        <v>185</v>
      </c>
      <c r="G29" s="9" t="s">
        <v>194</v>
      </c>
      <c r="H29" s="9">
        <v>64</v>
      </c>
      <c r="I29" s="9">
        <v>1</v>
      </c>
      <c r="J29" s="9">
        <v>32</v>
      </c>
      <c r="K29" s="9">
        <v>32</v>
      </c>
      <c r="L29" s="9">
        <v>1</v>
      </c>
      <c r="M29" s="9">
        <v>1</v>
      </c>
      <c r="N29" s="9">
        <v>2</v>
      </c>
      <c r="O29" s="9">
        <v>512</v>
      </c>
      <c r="P29" s="18">
        <f t="shared" si="0"/>
        <v>3.5261729414</v>
      </c>
      <c r="Q29" s="21">
        <f t="shared" si="1"/>
        <v>12.625</v>
      </c>
      <c r="R29" s="22">
        <f t="shared" si="2"/>
        <v>44.517933385174999</v>
      </c>
    </row>
    <row r="30" spans="1:18" x14ac:dyDescent="0.25">
      <c r="A30" t="s">
        <v>33</v>
      </c>
      <c r="B30">
        <v>1.726159</v>
      </c>
      <c r="C30">
        <v>2.1398E-2</v>
      </c>
      <c r="D30">
        <v>7.6000000000000004E-5</v>
      </c>
      <c r="E30">
        <v>0.26552999999999999</v>
      </c>
      <c r="F30" s="8" t="s">
        <v>185</v>
      </c>
      <c r="G30" s="9" t="s">
        <v>194</v>
      </c>
      <c r="H30" s="9">
        <v>64</v>
      </c>
      <c r="I30" s="9">
        <v>1</v>
      </c>
      <c r="J30" s="9">
        <v>32</v>
      </c>
      <c r="K30" s="9">
        <v>32</v>
      </c>
      <c r="L30" s="9">
        <v>1</v>
      </c>
      <c r="M30" s="9">
        <v>1</v>
      </c>
      <c r="N30" s="9">
        <v>4</v>
      </c>
      <c r="O30" s="9">
        <v>512</v>
      </c>
      <c r="P30" s="18">
        <f t="shared" si="0"/>
        <v>3.5110981219999999</v>
      </c>
      <c r="Q30" s="21">
        <f t="shared" si="1"/>
        <v>12.625</v>
      </c>
      <c r="R30" s="22">
        <f t="shared" si="2"/>
        <v>44.327613790249998</v>
      </c>
    </row>
    <row r="31" spans="1:18" x14ac:dyDescent="0.25">
      <c r="A31" t="s">
        <v>34</v>
      </c>
      <c r="B31">
        <v>1.7011620000000001</v>
      </c>
      <c r="C31">
        <v>2.1405E-2</v>
      </c>
      <c r="D31">
        <v>7.6000000000000004E-5</v>
      </c>
      <c r="E31">
        <v>0.22436600000000001</v>
      </c>
      <c r="F31" s="8" t="s">
        <v>185</v>
      </c>
      <c r="G31" s="9" t="s">
        <v>184</v>
      </c>
      <c r="H31" s="9">
        <v>64</v>
      </c>
      <c r="I31" s="9">
        <v>1</v>
      </c>
      <c r="J31" s="9">
        <v>32</v>
      </c>
      <c r="K31" s="9">
        <v>32</v>
      </c>
      <c r="L31" s="9">
        <v>1</v>
      </c>
      <c r="M31" s="9">
        <v>1</v>
      </c>
      <c r="N31" s="9">
        <v>2</v>
      </c>
      <c r="O31" s="9">
        <v>1024</v>
      </c>
      <c r="P31" s="18">
        <f t="shared" si="0"/>
        <v>3.3979326046000002</v>
      </c>
      <c r="Q31" s="21">
        <f t="shared" si="1"/>
        <v>12.75</v>
      </c>
      <c r="R31" s="22">
        <f t="shared" si="2"/>
        <v>43.323640708650004</v>
      </c>
    </row>
    <row r="32" spans="1:18" x14ac:dyDescent="0.25">
      <c r="A32" t="s">
        <v>35</v>
      </c>
      <c r="B32">
        <v>1.782824</v>
      </c>
      <c r="C32">
        <v>2.138E-2</v>
      </c>
      <c r="D32">
        <v>7.6000000000000004E-5</v>
      </c>
      <c r="E32">
        <v>0.35717199999999999</v>
      </c>
      <c r="F32" s="8" t="s">
        <v>185</v>
      </c>
      <c r="G32" s="9" t="s">
        <v>184</v>
      </c>
      <c r="H32" s="9">
        <v>64</v>
      </c>
      <c r="I32" s="9">
        <v>1</v>
      </c>
      <c r="J32" s="9">
        <v>32</v>
      </c>
      <c r="K32" s="9">
        <v>32</v>
      </c>
      <c r="L32" s="9">
        <v>1</v>
      </c>
      <c r="M32" s="9">
        <v>1</v>
      </c>
      <c r="N32" s="9">
        <v>2</v>
      </c>
      <c r="O32" s="9">
        <v>256</v>
      </c>
      <c r="P32" s="18">
        <f t="shared" si="0"/>
        <v>3.7637322431999998</v>
      </c>
      <c r="Q32" s="21">
        <f t="shared" si="1"/>
        <v>12.5625</v>
      </c>
      <c r="R32" s="22">
        <f t="shared" si="2"/>
        <v>47.281886305199997</v>
      </c>
    </row>
    <row r="33" spans="1:18" x14ac:dyDescent="0.25">
      <c r="A33" t="s">
        <v>36</v>
      </c>
      <c r="B33">
        <v>1.6845969999999999</v>
      </c>
      <c r="C33">
        <v>2.1402999999999998E-2</v>
      </c>
      <c r="D33">
        <v>7.6000000000000004E-5</v>
      </c>
      <c r="E33">
        <v>0.19744400000000001</v>
      </c>
      <c r="F33" s="8" t="s">
        <v>185</v>
      </c>
      <c r="G33" s="9" t="s">
        <v>184</v>
      </c>
      <c r="H33" s="9">
        <v>64</v>
      </c>
      <c r="I33" s="9">
        <v>1</v>
      </c>
      <c r="J33" s="9">
        <v>32</v>
      </c>
      <c r="K33" s="9">
        <v>32</v>
      </c>
      <c r="L33" s="9">
        <v>1</v>
      </c>
      <c r="M33" s="9">
        <v>1</v>
      </c>
      <c r="N33" s="9">
        <v>2</v>
      </c>
      <c r="O33" s="9">
        <v>2048</v>
      </c>
      <c r="P33" s="18">
        <f t="shared" si="0"/>
        <v>3.3234769675999996</v>
      </c>
      <c r="Q33" s="21">
        <f t="shared" si="1"/>
        <v>13</v>
      </c>
      <c r="R33" s="22">
        <f t="shared" si="2"/>
        <v>43.205200578799996</v>
      </c>
    </row>
    <row r="34" spans="1:18" x14ac:dyDescent="0.25">
      <c r="A34" t="s">
        <v>37</v>
      </c>
      <c r="B34">
        <v>1.6668179999999999</v>
      </c>
      <c r="C34">
        <v>2.1402999999999998E-2</v>
      </c>
      <c r="D34">
        <v>7.6000000000000004E-5</v>
      </c>
      <c r="E34">
        <v>0.170211</v>
      </c>
      <c r="F34" s="8" t="s">
        <v>185</v>
      </c>
      <c r="G34" s="9" t="s">
        <v>184</v>
      </c>
      <c r="H34" s="9">
        <v>64</v>
      </c>
      <c r="I34" s="9">
        <v>1</v>
      </c>
      <c r="J34" s="9">
        <v>32</v>
      </c>
      <c r="K34" s="9">
        <v>32</v>
      </c>
      <c r="L34" s="9">
        <v>1</v>
      </c>
      <c r="M34" s="9">
        <v>1</v>
      </c>
      <c r="N34" s="9">
        <v>2</v>
      </c>
      <c r="O34" s="9">
        <v>4096</v>
      </c>
      <c r="P34" s="18">
        <f t="shared" si="0"/>
        <v>3.2472042069000002</v>
      </c>
      <c r="Q34" s="21">
        <f t="shared" si="1"/>
        <v>13.5</v>
      </c>
      <c r="R34" s="22">
        <f t="shared" si="2"/>
        <v>43.837256793150004</v>
      </c>
    </row>
    <row r="35" spans="1:18" ht="15.75" thickBot="1" x14ac:dyDescent="0.3">
      <c r="A35" t="s">
        <v>38</v>
      </c>
      <c r="B35">
        <v>1.727746</v>
      </c>
      <c r="C35">
        <v>2.1398E-2</v>
      </c>
      <c r="D35">
        <v>7.6000000000000004E-5</v>
      </c>
      <c r="E35">
        <v>0.27181100000000002</v>
      </c>
      <c r="F35" s="10" t="s">
        <v>185</v>
      </c>
      <c r="G35" s="11" t="s">
        <v>184</v>
      </c>
      <c r="H35" s="11">
        <v>64</v>
      </c>
      <c r="I35" s="11">
        <v>1</v>
      </c>
      <c r="J35" s="11">
        <v>32</v>
      </c>
      <c r="K35" s="11">
        <v>32</v>
      </c>
      <c r="L35" s="11">
        <v>1</v>
      </c>
      <c r="M35" s="11">
        <v>1</v>
      </c>
      <c r="N35" s="11">
        <v>2</v>
      </c>
      <c r="O35" s="11">
        <v>512</v>
      </c>
      <c r="P35" s="19">
        <f t="shared" si="0"/>
        <v>3.5261729414</v>
      </c>
      <c r="Q35" s="23">
        <f t="shared" si="1"/>
        <v>12.625</v>
      </c>
      <c r="R35" s="24">
        <f t="shared" si="2"/>
        <v>44.517933385174999</v>
      </c>
    </row>
    <row r="36" spans="1:18" x14ac:dyDescent="0.25">
      <c r="A36" t="s">
        <v>39</v>
      </c>
      <c r="B36">
        <v>3.7784900000000001</v>
      </c>
      <c r="C36">
        <v>3.8850000000000003E-2</v>
      </c>
      <c r="D36">
        <v>5.8011E-2</v>
      </c>
      <c r="E36">
        <v>0.85604100000000005</v>
      </c>
      <c r="F36" s="8" t="s">
        <v>186</v>
      </c>
      <c r="G36" s="9" t="s">
        <v>190</v>
      </c>
      <c r="H36" s="9">
        <v>128</v>
      </c>
      <c r="I36" s="9">
        <v>1</v>
      </c>
      <c r="J36" s="9">
        <v>32</v>
      </c>
      <c r="K36" s="9">
        <v>32</v>
      </c>
      <c r="L36" s="9">
        <v>1</v>
      </c>
      <c r="M36" s="9">
        <v>1</v>
      </c>
      <c r="N36" s="9">
        <v>2</v>
      </c>
      <c r="O36" s="9">
        <v>512</v>
      </c>
      <c r="P36" s="18">
        <f t="shared" si="0"/>
        <v>14.0387987301</v>
      </c>
      <c r="Q36" s="21">
        <f t="shared" si="1"/>
        <v>17.625</v>
      </c>
      <c r="R36" s="22">
        <f t="shared" si="2"/>
        <v>247.43382761801249</v>
      </c>
    </row>
    <row r="37" spans="1:18" x14ac:dyDescent="0.25">
      <c r="A37" t="s">
        <v>40</v>
      </c>
      <c r="B37">
        <v>6.2138</v>
      </c>
      <c r="C37">
        <v>7.7135999999999996E-2</v>
      </c>
      <c r="D37">
        <v>0.10876</v>
      </c>
      <c r="E37">
        <v>0.94686000000000003</v>
      </c>
      <c r="F37" s="8" t="s">
        <v>186</v>
      </c>
      <c r="G37" s="9" t="s">
        <v>190</v>
      </c>
      <c r="H37" s="9">
        <v>32</v>
      </c>
      <c r="I37" s="9">
        <v>1</v>
      </c>
      <c r="J37" s="9">
        <v>32</v>
      </c>
      <c r="K37" s="9">
        <v>32</v>
      </c>
      <c r="L37" s="9">
        <v>1</v>
      </c>
      <c r="M37" s="9">
        <v>1</v>
      </c>
      <c r="N37" s="9">
        <v>2</v>
      </c>
      <c r="O37" s="9">
        <v>512</v>
      </c>
      <c r="P37" s="18">
        <f t="shared" si="0"/>
        <v>26.674508656</v>
      </c>
      <c r="Q37" s="21">
        <f t="shared" si="1"/>
        <v>10.125</v>
      </c>
      <c r="R37" s="22">
        <f t="shared" si="2"/>
        <v>270.079400142</v>
      </c>
    </row>
    <row r="38" spans="1:18" x14ac:dyDescent="0.25">
      <c r="A38" t="s">
        <v>41</v>
      </c>
      <c r="B38">
        <v>4.5237769999999999</v>
      </c>
      <c r="C38">
        <v>5.4128999999999997E-2</v>
      </c>
      <c r="D38">
        <v>7.7973000000000001E-2</v>
      </c>
      <c r="E38">
        <v>0.89292199999999999</v>
      </c>
      <c r="F38" s="8" t="s">
        <v>186</v>
      </c>
      <c r="G38" s="9" t="s">
        <v>190</v>
      </c>
      <c r="H38" s="9">
        <v>64</v>
      </c>
      <c r="I38" s="9">
        <v>1</v>
      </c>
      <c r="J38" s="9">
        <v>32</v>
      </c>
      <c r="K38" s="9">
        <v>32</v>
      </c>
      <c r="L38" s="9">
        <v>1</v>
      </c>
      <c r="M38" s="9">
        <v>1</v>
      </c>
      <c r="N38" s="9">
        <v>2</v>
      </c>
      <c r="O38" s="9">
        <v>512</v>
      </c>
      <c r="P38" s="18">
        <f t="shared" si="0"/>
        <v>18.640475204399998</v>
      </c>
      <c r="Q38" s="21">
        <f t="shared" si="1"/>
        <v>12.625</v>
      </c>
      <c r="R38" s="22">
        <f t="shared" si="2"/>
        <v>235.33599945554997</v>
      </c>
    </row>
    <row r="39" spans="1:18" x14ac:dyDescent="0.25">
      <c r="A39" t="s">
        <v>42</v>
      </c>
      <c r="B39">
        <v>4.5237769999999999</v>
      </c>
      <c r="C39">
        <v>5.4128999999999997E-2</v>
      </c>
      <c r="D39">
        <v>7.7973000000000001E-2</v>
      </c>
      <c r="E39">
        <v>0.89292199999999999</v>
      </c>
      <c r="F39" s="8" t="s">
        <v>186</v>
      </c>
      <c r="G39" s="9" t="s">
        <v>195</v>
      </c>
      <c r="H39" s="9">
        <v>64</v>
      </c>
      <c r="I39" s="9">
        <v>1</v>
      </c>
      <c r="J39" s="9">
        <v>32</v>
      </c>
      <c r="K39" s="9">
        <v>32</v>
      </c>
      <c r="L39" s="9">
        <v>1</v>
      </c>
      <c r="M39" s="9">
        <v>1</v>
      </c>
      <c r="N39" s="9">
        <v>2</v>
      </c>
      <c r="O39" s="9">
        <v>512</v>
      </c>
      <c r="P39" s="18">
        <f t="shared" si="0"/>
        <v>18.640475204399998</v>
      </c>
      <c r="Q39" s="21">
        <f t="shared" si="1"/>
        <v>12.625</v>
      </c>
      <c r="R39" s="22">
        <f t="shared" si="2"/>
        <v>235.33599945554997</v>
      </c>
    </row>
    <row r="40" spans="1:18" x14ac:dyDescent="0.25">
      <c r="A40" t="s">
        <v>43</v>
      </c>
      <c r="B40">
        <v>4.4505759999999999</v>
      </c>
      <c r="C40">
        <v>4.4306999999999999E-2</v>
      </c>
      <c r="D40">
        <v>7.7877000000000002E-2</v>
      </c>
      <c r="E40">
        <v>0.95719799999999999</v>
      </c>
      <c r="F40" s="8" t="s">
        <v>186</v>
      </c>
      <c r="G40" s="9" t="s">
        <v>191</v>
      </c>
      <c r="H40" s="9">
        <v>64</v>
      </c>
      <c r="I40" s="9">
        <v>1</v>
      </c>
      <c r="J40" s="9">
        <v>128</v>
      </c>
      <c r="K40" s="9">
        <v>128</v>
      </c>
      <c r="L40" s="9">
        <v>1</v>
      </c>
      <c r="M40" s="9">
        <v>1</v>
      </c>
      <c r="N40" s="9">
        <v>2</v>
      </c>
      <c r="O40" s="9">
        <v>512</v>
      </c>
      <c r="P40" s="18">
        <f t="shared" si="0"/>
        <v>18.367844043200002</v>
      </c>
      <c r="Q40" s="21">
        <f t="shared" si="1"/>
        <v>27.625</v>
      </c>
      <c r="R40" s="22">
        <f t="shared" si="2"/>
        <v>507.41169169340003</v>
      </c>
    </row>
    <row r="41" spans="1:18" x14ac:dyDescent="0.25">
      <c r="A41" t="s">
        <v>44</v>
      </c>
      <c r="B41">
        <v>4.5746890000000002</v>
      </c>
      <c r="C41">
        <v>4.4297000000000003E-2</v>
      </c>
      <c r="D41">
        <v>9.2743000000000006E-2</v>
      </c>
      <c r="E41">
        <v>0.84974099999999997</v>
      </c>
      <c r="F41" s="8" t="s">
        <v>186</v>
      </c>
      <c r="G41" s="9" t="s">
        <v>191</v>
      </c>
      <c r="H41" s="9">
        <v>64</v>
      </c>
      <c r="I41" s="9">
        <v>1</v>
      </c>
      <c r="J41" s="9">
        <v>128</v>
      </c>
      <c r="K41" s="9">
        <v>16</v>
      </c>
      <c r="L41" s="9">
        <v>1</v>
      </c>
      <c r="M41" s="9">
        <v>1</v>
      </c>
      <c r="N41" s="9">
        <v>2</v>
      </c>
      <c r="O41" s="9">
        <v>512</v>
      </c>
      <c r="P41" s="18">
        <f t="shared" si="0"/>
        <v>18.589939663999999</v>
      </c>
      <c r="Q41" s="21">
        <f t="shared" si="1"/>
        <v>18.875</v>
      </c>
      <c r="R41" s="22">
        <f t="shared" si="2"/>
        <v>350.88511115799997</v>
      </c>
    </row>
    <row r="42" spans="1:18" x14ac:dyDescent="0.25">
      <c r="A42" t="s">
        <v>45</v>
      </c>
      <c r="B42">
        <v>4.4837040000000004</v>
      </c>
      <c r="C42">
        <v>4.4316000000000001E-2</v>
      </c>
      <c r="D42">
        <v>8.2461000000000007E-2</v>
      </c>
      <c r="E42">
        <v>0.92134799999999994</v>
      </c>
      <c r="F42" s="8" t="s">
        <v>186</v>
      </c>
      <c r="G42" s="9" t="s">
        <v>191</v>
      </c>
      <c r="H42" s="9">
        <v>64</v>
      </c>
      <c r="I42" s="9">
        <v>1</v>
      </c>
      <c r="J42" s="9">
        <v>128</v>
      </c>
      <c r="K42" s="9">
        <v>32</v>
      </c>
      <c r="L42" s="9">
        <v>1</v>
      </c>
      <c r="M42" s="9">
        <v>1</v>
      </c>
      <c r="N42" s="9">
        <v>2</v>
      </c>
      <c r="O42" s="9">
        <v>512</v>
      </c>
      <c r="P42" s="18">
        <f t="shared" si="0"/>
        <v>18.432047539599999</v>
      </c>
      <c r="Q42" s="21">
        <f t="shared" si="1"/>
        <v>20.125</v>
      </c>
      <c r="R42" s="22">
        <f t="shared" si="2"/>
        <v>370.94495673444999</v>
      </c>
    </row>
    <row r="43" spans="1:18" x14ac:dyDescent="0.25">
      <c r="A43" t="s">
        <v>46</v>
      </c>
      <c r="B43">
        <v>4.4505759999999999</v>
      </c>
      <c r="C43">
        <v>4.4306999999999999E-2</v>
      </c>
      <c r="D43">
        <v>7.8312000000000007E-2</v>
      </c>
      <c r="E43">
        <v>0.953488</v>
      </c>
      <c r="F43" s="8" t="s">
        <v>186</v>
      </c>
      <c r="G43" s="9" t="s">
        <v>191</v>
      </c>
      <c r="H43" s="9">
        <v>64</v>
      </c>
      <c r="I43" s="9">
        <v>1</v>
      </c>
      <c r="J43" s="9">
        <v>128</v>
      </c>
      <c r="K43" s="9">
        <v>64</v>
      </c>
      <c r="L43" s="9">
        <v>1</v>
      </c>
      <c r="M43" s="9">
        <v>1</v>
      </c>
      <c r="N43" s="9">
        <v>2</v>
      </c>
      <c r="O43" s="9">
        <v>512</v>
      </c>
      <c r="P43" s="18">
        <f t="shared" si="0"/>
        <v>18.368340507200003</v>
      </c>
      <c r="Q43" s="21">
        <f t="shared" si="1"/>
        <v>22.625</v>
      </c>
      <c r="R43" s="22">
        <f t="shared" si="2"/>
        <v>415.58370397540006</v>
      </c>
    </row>
    <row r="44" spans="1:18" x14ac:dyDescent="0.25">
      <c r="A44" t="s">
        <v>47</v>
      </c>
      <c r="B44">
        <v>4.5840009999999998</v>
      </c>
      <c r="C44">
        <v>6.1377000000000001E-2</v>
      </c>
      <c r="D44">
        <v>7.7204999999999996E-2</v>
      </c>
      <c r="E44">
        <v>0.84681600000000001</v>
      </c>
      <c r="F44" s="8" t="s">
        <v>186</v>
      </c>
      <c r="G44" s="9" t="s">
        <v>191</v>
      </c>
      <c r="H44" s="9">
        <v>64</v>
      </c>
      <c r="I44" s="9">
        <v>1</v>
      </c>
      <c r="J44" s="9">
        <v>16</v>
      </c>
      <c r="K44" s="9">
        <v>128</v>
      </c>
      <c r="L44" s="9">
        <v>1</v>
      </c>
      <c r="M44" s="9">
        <v>1</v>
      </c>
      <c r="N44" s="9">
        <v>2</v>
      </c>
      <c r="O44" s="9">
        <v>512</v>
      </c>
      <c r="P44" s="18">
        <f t="shared" si="0"/>
        <v>18.7051664912</v>
      </c>
      <c r="Q44" s="21">
        <f t="shared" si="1"/>
        <v>18.875</v>
      </c>
      <c r="R44" s="22">
        <f t="shared" si="2"/>
        <v>353.06001752140003</v>
      </c>
    </row>
    <row r="45" spans="1:18" x14ac:dyDescent="0.25">
      <c r="A45" t="s">
        <v>48</v>
      </c>
      <c r="B45">
        <v>4.645905</v>
      </c>
      <c r="C45">
        <v>6.1364000000000002E-2</v>
      </c>
      <c r="D45">
        <v>9.2370999999999995E-2</v>
      </c>
      <c r="E45">
        <v>0.75925900000000002</v>
      </c>
      <c r="F45" s="8" t="s">
        <v>186</v>
      </c>
      <c r="G45" s="9" t="s">
        <v>191</v>
      </c>
      <c r="H45" s="9">
        <v>64</v>
      </c>
      <c r="I45" s="9">
        <v>1</v>
      </c>
      <c r="J45" s="9">
        <v>16</v>
      </c>
      <c r="K45" s="9">
        <v>16</v>
      </c>
      <c r="L45" s="9">
        <v>1</v>
      </c>
      <c r="M45" s="9">
        <v>1</v>
      </c>
      <c r="N45" s="9">
        <v>2</v>
      </c>
      <c r="O45" s="9">
        <v>512</v>
      </c>
      <c r="P45" s="18">
        <f t="shared" si="0"/>
        <v>18.855723236500001</v>
      </c>
      <c r="Q45" s="21">
        <f t="shared" si="1"/>
        <v>10.125</v>
      </c>
      <c r="R45" s="22">
        <f t="shared" si="2"/>
        <v>190.91419776956252</v>
      </c>
    </row>
    <row r="46" spans="1:18" x14ac:dyDescent="0.25">
      <c r="A46" t="s">
        <v>49</v>
      </c>
      <c r="B46">
        <v>4.6223190000000001</v>
      </c>
      <c r="C46">
        <v>6.139E-2</v>
      </c>
      <c r="D46">
        <v>8.1946000000000005E-2</v>
      </c>
      <c r="E46">
        <v>0.817276</v>
      </c>
      <c r="F46" s="8" t="s">
        <v>186</v>
      </c>
      <c r="G46" s="9" t="s">
        <v>191</v>
      </c>
      <c r="H46" s="9">
        <v>64</v>
      </c>
      <c r="I46" s="9">
        <v>1</v>
      </c>
      <c r="J46" s="9">
        <v>16</v>
      </c>
      <c r="K46" s="9">
        <v>32</v>
      </c>
      <c r="L46" s="9">
        <v>1</v>
      </c>
      <c r="M46" s="9">
        <v>1</v>
      </c>
      <c r="N46" s="9">
        <v>2</v>
      </c>
      <c r="O46" s="9">
        <v>512</v>
      </c>
      <c r="P46" s="18">
        <f t="shared" si="0"/>
        <v>18.7701862736</v>
      </c>
      <c r="Q46" s="21">
        <f t="shared" si="1"/>
        <v>11.375</v>
      </c>
      <c r="R46" s="22">
        <f t="shared" si="2"/>
        <v>213.5108688622</v>
      </c>
    </row>
    <row r="47" spans="1:18" x14ac:dyDescent="0.25">
      <c r="A47" t="s">
        <v>50</v>
      </c>
      <c r="B47">
        <v>4.585833</v>
      </c>
      <c r="C47">
        <v>6.1377000000000001E-2</v>
      </c>
      <c r="D47">
        <v>7.7635999999999997E-2</v>
      </c>
      <c r="E47">
        <v>0.84391099999999997</v>
      </c>
      <c r="F47" s="8" t="s">
        <v>186</v>
      </c>
      <c r="G47" s="9" t="s">
        <v>191</v>
      </c>
      <c r="H47" s="9">
        <v>64</v>
      </c>
      <c r="I47" s="9">
        <v>1</v>
      </c>
      <c r="J47" s="9">
        <v>16</v>
      </c>
      <c r="K47" s="9">
        <v>64</v>
      </c>
      <c r="L47" s="9">
        <v>1</v>
      </c>
      <c r="M47" s="9">
        <v>1</v>
      </c>
      <c r="N47" s="9">
        <v>2</v>
      </c>
      <c r="O47" s="9">
        <v>512</v>
      </c>
      <c r="P47" s="18">
        <f t="shared" si="0"/>
        <v>18.707422984299999</v>
      </c>
      <c r="Q47" s="21">
        <f t="shared" si="1"/>
        <v>13.875</v>
      </c>
      <c r="R47" s="22">
        <f t="shared" si="2"/>
        <v>259.56549390716248</v>
      </c>
    </row>
    <row r="48" spans="1:18" x14ac:dyDescent="0.25">
      <c r="A48" t="s">
        <v>51</v>
      </c>
      <c r="B48">
        <v>4.5163729999999997</v>
      </c>
      <c r="C48">
        <v>5.4128999999999997E-2</v>
      </c>
      <c r="D48">
        <v>7.7539999999999998E-2</v>
      </c>
      <c r="E48">
        <v>0.89617500000000005</v>
      </c>
      <c r="F48" s="8" t="s">
        <v>186</v>
      </c>
      <c r="G48" s="9" t="s">
        <v>191</v>
      </c>
      <c r="H48" s="9">
        <v>64</v>
      </c>
      <c r="I48" s="9">
        <v>1</v>
      </c>
      <c r="J48" s="9">
        <v>32</v>
      </c>
      <c r="K48" s="9">
        <v>128</v>
      </c>
      <c r="L48" s="9">
        <v>1</v>
      </c>
      <c r="M48" s="9">
        <v>1</v>
      </c>
      <c r="N48" s="9">
        <v>2</v>
      </c>
      <c r="O48" s="9">
        <v>512</v>
      </c>
      <c r="P48" s="18">
        <f t="shared" si="0"/>
        <v>18.632909607499997</v>
      </c>
      <c r="Q48" s="21">
        <f t="shared" si="1"/>
        <v>20.125</v>
      </c>
      <c r="R48" s="22">
        <f t="shared" si="2"/>
        <v>374.98730585093745</v>
      </c>
    </row>
    <row r="49" spans="1:18" x14ac:dyDescent="0.25">
      <c r="A49" t="s">
        <v>52</v>
      </c>
      <c r="B49">
        <v>4.633845</v>
      </c>
      <c r="C49">
        <v>5.4117999999999999E-2</v>
      </c>
      <c r="D49">
        <v>9.2795000000000002E-2</v>
      </c>
      <c r="E49">
        <v>0.79870099999999999</v>
      </c>
      <c r="F49" s="8" t="s">
        <v>186</v>
      </c>
      <c r="G49" s="9" t="s">
        <v>191</v>
      </c>
      <c r="H49" s="9">
        <v>64</v>
      </c>
      <c r="I49" s="9">
        <v>1</v>
      </c>
      <c r="J49" s="9">
        <v>32</v>
      </c>
      <c r="K49" s="9">
        <v>16</v>
      </c>
      <c r="L49" s="9">
        <v>1</v>
      </c>
      <c r="M49" s="9">
        <v>1</v>
      </c>
      <c r="N49" s="9">
        <v>2</v>
      </c>
      <c r="O49" s="9">
        <v>512</v>
      </c>
      <c r="P49" s="18">
        <f t="shared" si="0"/>
        <v>18.836931001300002</v>
      </c>
      <c r="Q49" s="21">
        <f t="shared" si="1"/>
        <v>11.375</v>
      </c>
      <c r="R49" s="22">
        <f t="shared" si="2"/>
        <v>214.27009013978753</v>
      </c>
    </row>
    <row r="50" spans="1:18" x14ac:dyDescent="0.25">
      <c r="A50" t="s">
        <v>53</v>
      </c>
      <c r="B50">
        <v>4.5672090000000001</v>
      </c>
      <c r="C50">
        <v>5.4141000000000002E-2</v>
      </c>
      <c r="D50">
        <v>8.2102999999999995E-2</v>
      </c>
      <c r="E50">
        <v>0.86467499999999997</v>
      </c>
      <c r="F50" s="8" t="s">
        <v>186</v>
      </c>
      <c r="G50" s="9" t="s">
        <v>191</v>
      </c>
      <c r="H50" s="9">
        <v>64</v>
      </c>
      <c r="I50" s="9">
        <v>1</v>
      </c>
      <c r="J50" s="9">
        <v>32</v>
      </c>
      <c r="K50" s="9">
        <v>32</v>
      </c>
      <c r="L50" s="9">
        <v>1</v>
      </c>
      <c r="M50" s="9">
        <v>1</v>
      </c>
      <c r="N50" s="9">
        <v>2</v>
      </c>
      <c r="O50" s="9">
        <v>512</v>
      </c>
      <c r="P50" s="18">
        <f t="shared" si="0"/>
        <v>18.710327069999998</v>
      </c>
      <c r="Q50" s="21">
        <f t="shared" si="1"/>
        <v>12.625</v>
      </c>
      <c r="R50" s="22">
        <f t="shared" si="2"/>
        <v>236.21787925874997</v>
      </c>
    </row>
    <row r="51" spans="1:18" x14ac:dyDescent="0.25">
      <c r="A51" t="s">
        <v>54</v>
      </c>
      <c r="B51">
        <v>4.5237769999999999</v>
      </c>
      <c r="C51">
        <v>5.4128999999999997E-2</v>
      </c>
      <c r="D51">
        <v>7.7973000000000001E-2</v>
      </c>
      <c r="E51">
        <v>0.89292199999999999</v>
      </c>
      <c r="F51" s="8" t="s">
        <v>186</v>
      </c>
      <c r="G51" s="9" t="s">
        <v>191</v>
      </c>
      <c r="H51" s="9">
        <v>64</v>
      </c>
      <c r="I51" s="9">
        <v>1</v>
      </c>
      <c r="J51" s="9">
        <v>32</v>
      </c>
      <c r="K51" s="9">
        <v>64</v>
      </c>
      <c r="L51" s="9">
        <v>1</v>
      </c>
      <c r="M51" s="9">
        <v>1</v>
      </c>
      <c r="N51" s="9">
        <v>2</v>
      </c>
      <c r="O51" s="9">
        <v>512</v>
      </c>
      <c r="P51" s="18">
        <f t="shared" si="0"/>
        <v>18.640475204399998</v>
      </c>
      <c r="Q51" s="21">
        <f t="shared" si="1"/>
        <v>15.125</v>
      </c>
      <c r="R51" s="22">
        <f t="shared" si="2"/>
        <v>281.93718746654997</v>
      </c>
    </row>
    <row r="52" spans="1:18" x14ac:dyDescent="0.25">
      <c r="A52" t="s">
        <v>55</v>
      </c>
      <c r="B52">
        <v>4.4505759999999999</v>
      </c>
      <c r="C52">
        <v>4.4306999999999999E-2</v>
      </c>
      <c r="D52">
        <v>7.7877000000000002E-2</v>
      </c>
      <c r="E52">
        <v>0.95719799999999999</v>
      </c>
      <c r="F52" s="8" t="s">
        <v>186</v>
      </c>
      <c r="G52" s="9" t="s">
        <v>191</v>
      </c>
      <c r="H52" s="9">
        <v>64</v>
      </c>
      <c r="I52" s="9">
        <v>1</v>
      </c>
      <c r="J52" s="9">
        <v>64</v>
      </c>
      <c r="K52" s="9">
        <v>128</v>
      </c>
      <c r="L52" s="9">
        <v>1</v>
      </c>
      <c r="M52" s="9">
        <v>1</v>
      </c>
      <c r="N52" s="9">
        <v>2</v>
      </c>
      <c r="O52" s="9">
        <v>512</v>
      </c>
      <c r="P52" s="18">
        <f t="shared" si="0"/>
        <v>18.367844043200002</v>
      </c>
      <c r="Q52" s="21">
        <f t="shared" si="1"/>
        <v>22.625</v>
      </c>
      <c r="R52" s="22">
        <f t="shared" si="2"/>
        <v>415.57247147740003</v>
      </c>
    </row>
    <row r="53" spans="1:18" x14ac:dyDescent="0.25">
      <c r="A53" t="s">
        <v>56</v>
      </c>
      <c r="B53">
        <v>4.5746890000000002</v>
      </c>
      <c r="C53">
        <v>4.4297000000000003E-2</v>
      </c>
      <c r="D53">
        <v>9.2743000000000006E-2</v>
      </c>
      <c r="E53">
        <v>0.84974099999999997</v>
      </c>
      <c r="F53" s="8" t="s">
        <v>186</v>
      </c>
      <c r="G53" s="9" t="s">
        <v>191</v>
      </c>
      <c r="H53" s="9">
        <v>64</v>
      </c>
      <c r="I53" s="9">
        <v>1</v>
      </c>
      <c r="J53" s="9">
        <v>64</v>
      </c>
      <c r="K53" s="9">
        <v>16</v>
      </c>
      <c r="L53" s="9">
        <v>1</v>
      </c>
      <c r="M53" s="9">
        <v>1</v>
      </c>
      <c r="N53" s="9">
        <v>2</v>
      </c>
      <c r="O53" s="9">
        <v>512</v>
      </c>
      <c r="P53" s="18">
        <f t="shared" si="0"/>
        <v>18.589939663999999</v>
      </c>
      <c r="Q53" s="21">
        <f t="shared" si="1"/>
        <v>13.875</v>
      </c>
      <c r="R53" s="22">
        <f t="shared" si="2"/>
        <v>257.93541283799999</v>
      </c>
    </row>
    <row r="54" spans="1:18" x14ac:dyDescent="0.25">
      <c r="A54" t="s">
        <v>57</v>
      </c>
      <c r="B54">
        <v>4.4837040000000004</v>
      </c>
      <c r="C54">
        <v>4.4316000000000001E-2</v>
      </c>
      <c r="D54">
        <v>8.2461000000000007E-2</v>
      </c>
      <c r="E54">
        <v>0.92134799999999994</v>
      </c>
      <c r="F54" s="8" t="s">
        <v>186</v>
      </c>
      <c r="G54" s="9" t="s">
        <v>191</v>
      </c>
      <c r="H54" s="9">
        <v>64</v>
      </c>
      <c r="I54" s="9">
        <v>1</v>
      </c>
      <c r="J54" s="9">
        <v>64</v>
      </c>
      <c r="K54" s="9">
        <v>32</v>
      </c>
      <c r="L54" s="9">
        <v>1</v>
      </c>
      <c r="M54" s="9">
        <v>1</v>
      </c>
      <c r="N54" s="9">
        <v>2</v>
      </c>
      <c r="O54" s="9">
        <v>512</v>
      </c>
      <c r="P54" s="18">
        <f t="shared" si="0"/>
        <v>18.432047539599999</v>
      </c>
      <c r="Q54" s="21">
        <f t="shared" si="1"/>
        <v>15.125</v>
      </c>
      <c r="R54" s="22">
        <f t="shared" si="2"/>
        <v>278.78471903644999</v>
      </c>
    </row>
    <row r="55" spans="1:18" x14ac:dyDescent="0.25">
      <c r="A55" t="s">
        <v>58</v>
      </c>
      <c r="B55">
        <v>4.4505759999999999</v>
      </c>
      <c r="C55">
        <v>4.4306999999999999E-2</v>
      </c>
      <c r="D55">
        <v>7.8312000000000007E-2</v>
      </c>
      <c r="E55">
        <v>0.953488</v>
      </c>
      <c r="F55" s="8" t="s">
        <v>186</v>
      </c>
      <c r="G55" s="9" t="s">
        <v>191</v>
      </c>
      <c r="H55" s="9">
        <v>64</v>
      </c>
      <c r="I55" s="9">
        <v>1</v>
      </c>
      <c r="J55" s="9">
        <v>64</v>
      </c>
      <c r="K55" s="9">
        <v>64</v>
      </c>
      <c r="L55" s="9">
        <v>1</v>
      </c>
      <c r="M55" s="9">
        <v>1</v>
      </c>
      <c r="N55" s="9">
        <v>2</v>
      </c>
      <c r="O55" s="9">
        <v>512</v>
      </c>
      <c r="P55" s="18">
        <f t="shared" si="0"/>
        <v>18.368340507200003</v>
      </c>
      <c r="Q55" s="21">
        <f t="shared" si="1"/>
        <v>17.625</v>
      </c>
      <c r="R55" s="22">
        <f t="shared" si="2"/>
        <v>323.74200143940004</v>
      </c>
    </row>
    <row r="56" spans="1:18" x14ac:dyDescent="0.25">
      <c r="A56" t="s">
        <v>59</v>
      </c>
      <c r="B56">
        <v>4.5237769999999999</v>
      </c>
      <c r="C56">
        <v>5.4128999999999997E-2</v>
      </c>
      <c r="D56">
        <v>7.7973000000000001E-2</v>
      </c>
      <c r="E56">
        <v>0.89292199999999999</v>
      </c>
      <c r="F56" s="8" t="s">
        <v>186</v>
      </c>
      <c r="G56" s="9" t="s">
        <v>192</v>
      </c>
      <c r="H56" s="9">
        <v>64</v>
      </c>
      <c r="I56" s="9">
        <v>1</v>
      </c>
      <c r="J56" s="9">
        <v>32</v>
      </c>
      <c r="K56" s="9">
        <v>32</v>
      </c>
      <c r="L56" s="9">
        <v>1</v>
      </c>
      <c r="M56" s="9">
        <v>1</v>
      </c>
      <c r="N56" s="9">
        <v>2</v>
      </c>
      <c r="O56" s="9">
        <v>512</v>
      </c>
      <c r="P56" s="18">
        <f t="shared" si="0"/>
        <v>18.640475204399998</v>
      </c>
      <c r="Q56" s="21">
        <f t="shared" si="1"/>
        <v>12.625</v>
      </c>
      <c r="R56" s="22">
        <f t="shared" si="2"/>
        <v>235.33599945554997</v>
      </c>
    </row>
    <row r="57" spans="1:18" x14ac:dyDescent="0.25">
      <c r="A57" t="s">
        <v>60</v>
      </c>
      <c r="B57">
        <v>4.4505759999999999</v>
      </c>
      <c r="C57">
        <v>4.4734999999999997E-2</v>
      </c>
      <c r="D57">
        <v>7.8260999999999997E-2</v>
      </c>
      <c r="E57">
        <v>0.94980699999999996</v>
      </c>
      <c r="F57" s="8" t="s">
        <v>186</v>
      </c>
      <c r="G57" s="9" t="s">
        <v>192</v>
      </c>
      <c r="H57" s="9">
        <v>64</v>
      </c>
      <c r="I57" s="9">
        <v>1</v>
      </c>
      <c r="J57" s="9">
        <v>32</v>
      </c>
      <c r="K57" s="9">
        <v>32</v>
      </c>
      <c r="L57" s="9">
        <v>2</v>
      </c>
      <c r="M57" s="9">
        <v>1</v>
      </c>
      <c r="N57" s="9">
        <v>2</v>
      </c>
      <c r="O57" s="9">
        <v>512</v>
      </c>
      <c r="P57" s="18">
        <f t="shared" si="0"/>
        <v>18.3627821772</v>
      </c>
      <c r="Q57" s="21">
        <f t="shared" si="1"/>
        <v>15.125</v>
      </c>
      <c r="R57" s="22">
        <f t="shared" si="2"/>
        <v>277.73708043015</v>
      </c>
    </row>
    <row r="58" spans="1:18" x14ac:dyDescent="0.25">
      <c r="A58" t="s">
        <v>61</v>
      </c>
      <c r="B58">
        <v>4.4505759999999999</v>
      </c>
      <c r="C58">
        <v>4.4306999999999999E-2</v>
      </c>
      <c r="D58">
        <v>7.8312000000000007E-2</v>
      </c>
      <c r="E58">
        <v>0.953488</v>
      </c>
      <c r="F58" s="8" t="s">
        <v>186</v>
      </c>
      <c r="G58" s="9" t="s">
        <v>192</v>
      </c>
      <c r="H58" s="9">
        <v>64</v>
      </c>
      <c r="I58" s="9">
        <v>1</v>
      </c>
      <c r="J58" s="9">
        <v>32</v>
      </c>
      <c r="K58" s="9">
        <v>32</v>
      </c>
      <c r="L58" s="9">
        <v>4</v>
      </c>
      <c r="M58" s="9">
        <v>1</v>
      </c>
      <c r="N58" s="9">
        <v>2</v>
      </c>
      <c r="O58" s="9">
        <v>512</v>
      </c>
      <c r="P58" s="18">
        <f t="shared" si="0"/>
        <v>18.368340507200003</v>
      </c>
      <c r="Q58" s="21">
        <f t="shared" si="1"/>
        <v>20.125</v>
      </c>
      <c r="R58" s="22">
        <f t="shared" si="2"/>
        <v>369.66285270740008</v>
      </c>
    </row>
    <row r="59" spans="1:18" x14ac:dyDescent="0.25">
      <c r="A59" t="s">
        <v>62</v>
      </c>
      <c r="B59">
        <v>4.5237769999999999</v>
      </c>
      <c r="C59">
        <v>5.4128999999999997E-2</v>
      </c>
      <c r="D59">
        <v>7.7973000000000001E-2</v>
      </c>
      <c r="E59">
        <v>0.89292199999999999</v>
      </c>
      <c r="F59" s="8" t="s">
        <v>186</v>
      </c>
      <c r="G59" s="9" t="s">
        <v>193</v>
      </c>
      <c r="H59" s="9">
        <v>64</v>
      </c>
      <c r="I59" s="9">
        <v>1</v>
      </c>
      <c r="J59" s="9">
        <v>32</v>
      </c>
      <c r="K59" s="9">
        <v>32</v>
      </c>
      <c r="L59" s="9">
        <v>1</v>
      </c>
      <c r="M59" s="9">
        <v>1</v>
      </c>
      <c r="N59" s="9">
        <v>2</v>
      </c>
      <c r="O59" s="9">
        <v>512</v>
      </c>
      <c r="P59" s="18">
        <f t="shared" si="0"/>
        <v>18.640475204399998</v>
      </c>
      <c r="Q59" s="21">
        <f t="shared" si="1"/>
        <v>12.625</v>
      </c>
      <c r="R59" s="22">
        <f t="shared" si="2"/>
        <v>235.33599945554997</v>
      </c>
    </row>
    <row r="60" spans="1:18" x14ac:dyDescent="0.25">
      <c r="A60" t="s">
        <v>63</v>
      </c>
      <c r="B60">
        <v>4.5163729999999997</v>
      </c>
      <c r="C60">
        <v>5.4128999999999997E-2</v>
      </c>
      <c r="D60">
        <v>7.7306E-2</v>
      </c>
      <c r="E60">
        <v>0.89781</v>
      </c>
      <c r="F60" s="8" t="s">
        <v>186</v>
      </c>
      <c r="G60" s="9" t="s">
        <v>193</v>
      </c>
      <c r="H60" s="9">
        <v>64</v>
      </c>
      <c r="I60" s="9">
        <v>1</v>
      </c>
      <c r="J60" s="9">
        <v>32</v>
      </c>
      <c r="K60" s="9">
        <v>32</v>
      </c>
      <c r="L60" s="9">
        <v>1</v>
      </c>
      <c r="M60" s="9">
        <v>2</v>
      </c>
      <c r="N60" s="9">
        <v>2</v>
      </c>
      <c r="O60" s="9">
        <v>512</v>
      </c>
      <c r="P60" s="18">
        <f t="shared" si="0"/>
        <v>18.631088734999999</v>
      </c>
      <c r="Q60" s="21">
        <f t="shared" si="1"/>
        <v>12.625</v>
      </c>
      <c r="R60" s="22">
        <f t="shared" si="2"/>
        <v>235.21749527937499</v>
      </c>
    </row>
    <row r="61" spans="1:18" x14ac:dyDescent="0.25">
      <c r="A61" t="s">
        <v>64</v>
      </c>
      <c r="B61">
        <v>4.5163729999999997</v>
      </c>
      <c r="C61">
        <v>5.4128999999999997E-2</v>
      </c>
      <c r="D61">
        <v>7.6622999999999997E-2</v>
      </c>
      <c r="E61">
        <v>0.902752</v>
      </c>
      <c r="F61" s="8" t="s">
        <v>186</v>
      </c>
      <c r="G61" s="9" t="s">
        <v>193</v>
      </c>
      <c r="H61" s="9">
        <v>64</v>
      </c>
      <c r="I61" s="9">
        <v>1</v>
      </c>
      <c r="J61" s="9">
        <v>32</v>
      </c>
      <c r="K61" s="9">
        <v>32</v>
      </c>
      <c r="L61" s="9">
        <v>1</v>
      </c>
      <c r="M61" s="9">
        <v>4</v>
      </c>
      <c r="N61" s="9">
        <v>2</v>
      </c>
      <c r="O61" s="9">
        <v>512</v>
      </c>
      <c r="P61" s="18">
        <f t="shared" si="0"/>
        <v>18.627555950399998</v>
      </c>
      <c r="Q61" s="21">
        <f t="shared" si="1"/>
        <v>12.625</v>
      </c>
      <c r="R61" s="22">
        <f t="shared" si="2"/>
        <v>235.17289387379998</v>
      </c>
    </row>
    <row r="62" spans="1:18" x14ac:dyDescent="0.25">
      <c r="A62" t="s">
        <v>65</v>
      </c>
      <c r="B62">
        <v>4.5237769999999999</v>
      </c>
      <c r="C62">
        <v>5.4128999999999997E-2</v>
      </c>
      <c r="D62">
        <v>7.7973000000000001E-2</v>
      </c>
      <c r="E62">
        <v>0.89292199999999999</v>
      </c>
      <c r="F62" s="8" t="s">
        <v>186</v>
      </c>
      <c r="G62" s="9" t="s">
        <v>194</v>
      </c>
      <c r="H62" s="9">
        <v>64</v>
      </c>
      <c r="I62" s="9">
        <v>1</v>
      </c>
      <c r="J62" s="9">
        <v>32</v>
      </c>
      <c r="K62" s="9">
        <v>32</v>
      </c>
      <c r="L62" s="9">
        <v>1</v>
      </c>
      <c r="M62" s="9">
        <v>1</v>
      </c>
      <c r="N62" s="9">
        <v>1</v>
      </c>
      <c r="O62" s="9">
        <v>512</v>
      </c>
      <c r="P62" s="18">
        <f t="shared" si="0"/>
        <v>18.640475204399998</v>
      </c>
      <c r="Q62" s="21">
        <f t="shared" si="1"/>
        <v>12.625</v>
      </c>
      <c r="R62" s="22">
        <f t="shared" si="2"/>
        <v>235.33599945554997</v>
      </c>
    </row>
    <row r="63" spans="1:18" x14ac:dyDescent="0.25">
      <c r="A63" t="s">
        <v>66</v>
      </c>
      <c r="B63">
        <v>4.5237769999999999</v>
      </c>
      <c r="C63">
        <v>5.4128999999999997E-2</v>
      </c>
      <c r="D63">
        <v>7.7973000000000001E-2</v>
      </c>
      <c r="E63">
        <v>0.89292199999999999</v>
      </c>
      <c r="F63" s="8" t="s">
        <v>186</v>
      </c>
      <c r="G63" s="9" t="s">
        <v>194</v>
      </c>
      <c r="H63" s="9">
        <v>64</v>
      </c>
      <c r="I63" s="9">
        <v>1</v>
      </c>
      <c r="J63" s="9">
        <v>32</v>
      </c>
      <c r="K63" s="9">
        <v>32</v>
      </c>
      <c r="L63" s="9">
        <v>1</v>
      </c>
      <c r="M63" s="9">
        <v>1</v>
      </c>
      <c r="N63" s="9">
        <v>2</v>
      </c>
      <c r="O63" s="9">
        <v>512</v>
      </c>
      <c r="P63" s="18">
        <f t="shared" si="0"/>
        <v>18.640475204399998</v>
      </c>
      <c r="Q63" s="21">
        <f t="shared" si="1"/>
        <v>12.625</v>
      </c>
      <c r="R63" s="22">
        <f t="shared" si="2"/>
        <v>235.33599945554997</v>
      </c>
    </row>
    <row r="64" spans="1:18" x14ac:dyDescent="0.25">
      <c r="A64" t="s">
        <v>67</v>
      </c>
      <c r="B64">
        <v>4.5237769999999999</v>
      </c>
      <c r="C64">
        <v>5.4128999999999997E-2</v>
      </c>
      <c r="D64">
        <v>7.7973000000000001E-2</v>
      </c>
      <c r="E64">
        <v>0.89292199999999999</v>
      </c>
      <c r="F64" s="8" t="s">
        <v>186</v>
      </c>
      <c r="G64" s="9" t="s">
        <v>194</v>
      </c>
      <c r="H64" s="9">
        <v>64</v>
      </c>
      <c r="I64" s="9">
        <v>1</v>
      </c>
      <c r="J64" s="9">
        <v>32</v>
      </c>
      <c r="K64" s="9">
        <v>32</v>
      </c>
      <c r="L64" s="9">
        <v>1</v>
      </c>
      <c r="M64" s="9">
        <v>1</v>
      </c>
      <c r="N64" s="9">
        <v>4</v>
      </c>
      <c r="O64" s="9">
        <v>512</v>
      </c>
      <c r="P64" s="18">
        <f t="shared" si="0"/>
        <v>18.640475204399998</v>
      </c>
      <c r="Q64" s="21">
        <f t="shared" si="1"/>
        <v>12.625</v>
      </c>
      <c r="R64" s="22">
        <f t="shared" si="2"/>
        <v>235.33599945554997</v>
      </c>
    </row>
    <row r="65" spans="1:18" x14ac:dyDescent="0.25">
      <c r="A65" t="s">
        <v>68</v>
      </c>
      <c r="B65">
        <v>4.5237769999999999</v>
      </c>
      <c r="C65">
        <v>5.4128999999999997E-2</v>
      </c>
      <c r="D65">
        <v>7.7973000000000001E-2</v>
      </c>
      <c r="E65">
        <v>0.89292199999999999</v>
      </c>
      <c r="F65" s="8" t="s">
        <v>186</v>
      </c>
      <c r="G65" s="9" t="s">
        <v>184</v>
      </c>
      <c r="H65" s="9">
        <v>64</v>
      </c>
      <c r="I65" s="9">
        <v>1</v>
      </c>
      <c r="J65" s="9">
        <v>32</v>
      </c>
      <c r="K65" s="9">
        <v>32</v>
      </c>
      <c r="L65" s="9">
        <v>1</v>
      </c>
      <c r="M65" s="9">
        <v>1</v>
      </c>
      <c r="N65" s="9">
        <v>2</v>
      </c>
      <c r="O65" s="9">
        <v>1024</v>
      </c>
      <c r="P65" s="18">
        <f t="shared" si="0"/>
        <v>18.640475204399998</v>
      </c>
      <c r="Q65" s="21">
        <f t="shared" si="1"/>
        <v>12.75</v>
      </c>
      <c r="R65" s="22">
        <f t="shared" si="2"/>
        <v>237.66605885609997</v>
      </c>
    </row>
    <row r="66" spans="1:18" x14ac:dyDescent="0.25">
      <c r="A66" t="s">
        <v>69</v>
      </c>
      <c r="B66">
        <v>4.5237769999999999</v>
      </c>
      <c r="C66">
        <v>5.4128999999999997E-2</v>
      </c>
      <c r="D66">
        <v>7.7973000000000001E-2</v>
      </c>
      <c r="E66">
        <v>0.89292199999999999</v>
      </c>
      <c r="F66" s="8" t="s">
        <v>186</v>
      </c>
      <c r="G66" s="9" t="s">
        <v>184</v>
      </c>
      <c r="H66" s="9">
        <v>64</v>
      </c>
      <c r="I66" s="9">
        <v>1</v>
      </c>
      <c r="J66" s="9">
        <v>32</v>
      </c>
      <c r="K66" s="9">
        <v>32</v>
      </c>
      <c r="L66" s="9">
        <v>1</v>
      </c>
      <c r="M66" s="9">
        <v>1</v>
      </c>
      <c r="N66" s="9">
        <v>2</v>
      </c>
      <c r="O66" s="9">
        <v>256</v>
      </c>
      <c r="P66" s="18">
        <f t="shared" si="0"/>
        <v>18.640475204399998</v>
      </c>
      <c r="Q66" s="21">
        <f t="shared" si="1"/>
        <v>12.5625</v>
      </c>
      <c r="R66" s="22">
        <f t="shared" si="2"/>
        <v>234.17096975527497</v>
      </c>
    </row>
    <row r="67" spans="1:18" x14ac:dyDescent="0.25">
      <c r="A67" t="s">
        <v>70</v>
      </c>
      <c r="B67">
        <v>4.5237769999999999</v>
      </c>
      <c r="C67">
        <v>5.4128999999999997E-2</v>
      </c>
      <c r="D67">
        <v>7.7973000000000001E-2</v>
      </c>
      <c r="E67">
        <v>0.89292199999999999</v>
      </c>
      <c r="F67" s="8" t="s">
        <v>186</v>
      </c>
      <c r="G67" s="9" t="s">
        <v>184</v>
      </c>
      <c r="H67" s="9">
        <v>64</v>
      </c>
      <c r="I67" s="9">
        <v>1</v>
      </c>
      <c r="J67" s="9">
        <v>32</v>
      </c>
      <c r="K67" s="9">
        <v>32</v>
      </c>
      <c r="L67" s="9">
        <v>1</v>
      </c>
      <c r="M67" s="9">
        <v>1</v>
      </c>
      <c r="N67" s="9">
        <v>2</v>
      </c>
      <c r="O67" s="9">
        <v>2048</v>
      </c>
      <c r="P67" s="18">
        <f t="shared" ref="P67:P130" si="3">1+(C67+D67)*(10+E67*100)+B67</f>
        <v>18.640475204399998</v>
      </c>
      <c r="Q67" s="21">
        <f t="shared" ref="Q67:Q130" si="4">(J67+K67)/128*10+L67/4*10+O67/4096*1+H67/128*10</f>
        <v>13</v>
      </c>
      <c r="R67" s="22">
        <f t="shared" ref="R67:R130" si="5">Q67*P67</f>
        <v>242.32617765719996</v>
      </c>
    </row>
    <row r="68" spans="1:18" x14ac:dyDescent="0.25">
      <c r="A68" t="s">
        <v>71</v>
      </c>
      <c r="B68">
        <v>4.5237769999999999</v>
      </c>
      <c r="C68">
        <v>5.4128999999999997E-2</v>
      </c>
      <c r="D68">
        <v>7.7973000000000001E-2</v>
      </c>
      <c r="E68">
        <v>0.89292199999999999</v>
      </c>
      <c r="F68" s="8" t="s">
        <v>186</v>
      </c>
      <c r="G68" s="9" t="s">
        <v>184</v>
      </c>
      <c r="H68" s="9">
        <v>64</v>
      </c>
      <c r="I68" s="9">
        <v>1</v>
      </c>
      <c r="J68" s="9">
        <v>32</v>
      </c>
      <c r="K68" s="9">
        <v>32</v>
      </c>
      <c r="L68" s="9">
        <v>1</v>
      </c>
      <c r="M68" s="9">
        <v>1</v>
      </c>
      <c r="N68" s="9">
        <v>2</v>
      </c>
      <c r="O68" s="9">
        <v>4096</v>
      </c>
      <c r="P68" s="18">
        <f t="shared" si="3"/>
        <v>18.640475204399998</v>
      </c>
      <c r="Q68" s="21">
        <f t="shared" si="4"/>
        <v>13.5</v>
      </c>
      <c r="R68" s="22">
        <f t="shared" si="5"/>
        <v>251.64641525939996</v>
      </c>
    </row>
    <row r="69" spans="1:18" ht="15.75" thickBot="1" x14ac:dyDescent="0.3">
      <c r="A69" t="s">
        <v>72</v>
      </c>
      <c r="B69">
        <v>4.5237769999999999</v>
      </c>
      <c r="C69">
        <v>5.4128999999999997E-2</v>
      </c>
      <c r="D69">
        <v>7.7973000000000001E-2</v>
      </c>
      <c r="E69">
        <v>0.89292199999999999</v>
      </c>
      <c r="F69" s="10" t="s">
        <v>186</v>
      </c>
      <c r="G69" s="11" t="s">
        <v>184</v>
      </c>
      <c r="H69" s="11">
        <v>64</v>
      </c>
      <c r="I69" s="11">
        <v>1</v>
      </c>
      <c r="J69" s="11">
        <v>32</v>
      </c>
      <c r="K69" s="11">
        <v>32</v>
      </c>
      <c r="L69" s="11">
        <v>1</v>
      </c>
      <c r="M69" s="11">
        <v>1</v>
      </c>
      <c r="N69" s="11">
        <v>2</v>
      </c>
      <c r="O69" s="11">
        <v>512</v>
      </c>
      <c r="P69" s="19">
        <f t="shared" si="3"/>
        <v>18.640475204399998</v>
      </c>
      <c r="Q69" s="21">
        <f t="shared" si="4"/>
        <v>12.625</v>
      </c>
      <c r="R69" s="24">
        <f t="shared" si="5"/>
        <v>235.33599945554997</v>
      </c>
    </row>
    <row r="70" spans="1:18" x14ac:dyDescent="0.25">
      <c r="A70" t="s">
        <v>73</v>
      </c>
      <c r="B70">
        <v>4.9782080000000004</v>
      </c>
      <c r="C70">
        <v>6.1057E-2</v>
      </c>
      <c r="D70">
        <v>1.4E-5</v>
      </c>
      <c r="E70">
        <v>0.99548099999999995</v>
      </c>
      <c r="F70" s="6" t="s">
        <v>187</v>
      </c>
      <c r="G70" s="7" t="s">
        <v>190</v>
      </c>
      <c r="H70" s="7">
        <v>128</v>
      </c>
      <c r="I70" s="7">
        <v>1</v>
      </c>
      <c r="J70" s="7">
        <v>32</v>
      </c>
      <c r="K70" s="7">
        <v>32</v>
      </c>
      <c r="L70" s="7">
        <v>1</v>
      </c>
      <c r="M70" s="7">
        <v>1</v>
      </c>
      <c r="N70" s="7">
        <v>2</v>
      </c>
      <c r="O70" s="7">
        <v>512</v>
      </c>
      <c r="P70" s="20">
        <f t="shared" si="3"/>
        <v>12.668420015100001</v>
      </c>
      <c r="Q70" s="21">
        <f t="shared" si="4"/>
        <v>17.625</v>
      </c>
      <c r="R70" s="25">
        <f t="shared" si="5"/>
        <v>223.2809027661375</v>
      </c>
    </row>
    <row r="71" spans="1:18" x14ac:dyDescent="0.25">
      <c r="A71" t="s">
        <v>74</v>
      </c>
      <c r="B71">
        <v>11.660412000000001</v>
      </c>
      <c r="C71">
        <v>0.243703</v>
      </c>
      <c r="D71">
        <v>2.3E-5</v>
      </c>
      <c r="E71">
        <v>0.99959699999999996</v>
      </c>
      <c r="F71" s="8" t="s">
        <v>187</v>
      </c>
      <c r="G71" s="9" t="s">
        <v>190</v>
      </c>
      <c r="H71" s="9">
        <v>32</v>
      </c>
      <c r="I71" s="9">
        <v>1</v>
      </c>
      <c r="J71" s="9">
        <v>32</v>
      </c>
      <c r="K71" s="9">
        <v>32</v>
      </c>
      <c r="L71" s="9">
        <v>1</v>
      </c>
      <c r="M71" s="9">
        <v>1</v>
      </c>
      <c r="N71" s="9">
        <v>2</v>
      </c>
      <c r="O71" s="9">
        <v>512</v>
      </c>
      <c r="P71" s="18">
        <f t="shared" si="3"/>
        <v>39.460449842199999</v>
      </c>
      <c r="Q71" s="21">
        <f t="shared" si="4"/>
        <v>10.125</v>
      </c>
      <c r="R71" s="22">
        <f t="shared" si="5"/>
        <v>399.537054652275</v>
      </c>
    </row>
    <row r="72" spans="1:18" x14ac:dyDescent="0.25">
      <c r="A72" t="s">
        <v>75</v>
      </c>
      <c r="B72">
        <v>7.0422409999999998</v>
      </c>
      <c r="C72">
        <v>0.12191200000000001</v>
      </c>
      <c r="D72">
        <v>2.0000000000000002E-5</v>
      </c>
      <c r="E72">
        <v>0.99863000000000002</v>
      </c>
      <c r="F72" s="8" t="s">
        <v>187</v>
      </c>
      <c r="G72" s="9" t="s">
        <v>190</v>
      </c>
      <c r="H72" s="9">
        <v>64</v>
      </c>
      <c r="I72" s="9">
        <v>1</v>
      </c>
      <c r="J72" s="9">
        <v>32</v>
      </c>
      <c r="K72" s="9">
        <v>32</v>
      </c>
      <c r="L72" s="9">
        <v>1</v>
      </c>
      <c r="M72" s="9">
        <v>1</v>
      </c>
      <c r="N72" s="9">
        <v>2</v>
      </c>
      <c r="O72" s="9">
        <v>512</v>
      </c>
      <c r="P72" s="18">
        <f t="shared" si="3"/>
        <v>21.438056316000001</v>
      </c>
      <c r="Q72" s="21">
        <f t="shared" si="4"/>
        <v>12.625</v>
      </c>
      <c r="R72" s="22">
        <f t="shared" si="5"/>
        <v>270.6554609895</v>
      </c>
    </row>
    <row r="73" spans="1:18" x14ac:dyDescent="0.25">
      <c r="A73" t="s">
        <v>76</v>
      </c>
      <c r="B73">
        <v>7.0422409999999998</v>
      </c>
      <c r="C73">
        <v>0.12191200000000001</v>
      </c>
      <c r="D73">
        <v>2.0000000000000002E-5</v>
      </c>
      <c r="E73">
        <v>0.99863000000000002</v>
      </c>
      <c r="F73" s="8" t="s">
        <v>187</v>
      </c>
      <c r="G73" s="9" t="s">
        <v>195</v>
      </c>
      <c r="H73" s="9">
        <v>64</v>
      </c>
      <c r="I73" s="9">
        <v>1</v>
      </c>
      <c r="J73" s="9">
        <v>32</v>
      </c>
      <c r="K73" s="9">
        <v>32</v>
      </c>
      <c r="L73" s="9">
        <v>1</v>
      </c>
      <c r="M73" s="9">
        <v>1</v>
      </c>
      <c r="N73" s="9">
        <v>2</v>
      </c>
      <c r="O73" s="9">
        <v>512</v>
      </c>
      <c r="P73" s="18">
        <f t="shared" si="3"/>
        <v>21.438056316000001</v>
      </c>
      <c r="Q73" s="21">
        <f t="shared" si="4"/>
        <v>12.625</v>
      </c>
      <c r="R73" s="22">
        <f t="shared" si="5"/>
        <v>270.6554609895</v>
      </c>
    </row>
    <row r="74" spans="1:18" x14ac:dyDescent="0.25">
      <c r="A74" t="s">
        <v>77</v>
      </c>
      <c r="B74">
        <v>7.0414529999999997</v>
      </c>
      <c r="C74">
        <v>0.12184499999999999</v>
      </c>
      <c r="D74">
        <v>1.9000000000000001E-5</v>
      </c>
      <c r="E74">
        <v>0.99974200000000002</v>
      </c>
      <c r="F74" s="8" t="s">
        <v>187</v>
      </c>
      <c r="G74" s="9" t="s">
        <v>191</v>
      </c>
      <c r="H74" s="9">
        <v>64</v>
      </c>
      <c r="I74" s="9">
        <v>1</v>
      </c>
      <c r="J74" s="9">
        <v>128</v>
      </c>
      <c r="K74" s="9">
        <v>128</v>
      </c>
      <c r="L74" s="9">
        <v>1</v>
      </c>
      <c r="M74" s="9">
        <v>1</v>
      </c>
      <c r="N74" s="9">
        <v>2</v>
      </c>
      <c r="O74" s="9">
        <v>512</v>
      </c>
      <c r="P74" s="18">
        <f t="shared" si="3"/>
        <v>21.443348908800001</v>
      </c>
      <c r="Q74" s="21">
        <f t="shared" si="4"/>
        <v>27.625</v>
      </c>
      <c r="R74" s="22">
        <f t="shared" si="5"/>
        <v>592.37251360560003</v>
      </c>
    </row>
    <row r="75" spans="1:18" x14ac:dyDescent="0.25">
      <c r="A75" t="s">
        <v>78</v>
      </c>
      <c r="B75">
        <v>7.0414880000000002</v>
      </c>
      <c r="C75">
        <v>0.12184499999999999</v>
      </c>
      <c r="D75">
        <v>2.4000000000000001E-5</v>
      </c>
      <c r="E75">
        <v>0.99971299999999996</v>
      </c>
      <c r="F75" s="8" t="s">
        <v>187</v>
      </c>
      <c r="G75" s="9" t="s">
        <v>191</v>
      </c>
      <c r="H75" s="9">
        <v>64</v>
      </c>
      <c r="I75" s="9">
        <v>1</v>
      </c>
      <c r="J75" s="9">
        <v>128</v>
      </c>
      <c r="K75" s="9">
        <v>16</v>
      </c>
      <c r="L75" s="9">
        <v>1</v>
      </c>
      <c r="M75" s="9">
        <v>1</v>
      </c>
      <c r="N75" s="9">
        <v>2</v>
      </c>
      <c r="O75" s="9">
        <v>512</v>
      </c>
      <c r="P75" s="18">
        <f t="shared" si="3"/>
        <v>21.4435803597</v>
      </c>
      <c r="Q75" s="21">
        <f t="shared" si="4"/>
        <v>18.875</v>
      </c>
      <c r="R75" s="22">
        <f t="shared" si="5"/>
        <v>404.74757928933752</v>
      </c>
    </row>
    <row r="76" spans="1:18" x14ac:dyDescent="0.25">
      <c r="A76" t="s">
        <v>79</v>
      </c>
      <c r="B76">
        <v>7.0415190000000001</v>
      </c>
      <c r="C76">
        <v>0.12184499999999999</v>
      </c>
      <c r="D76">
        <v>2.0999999999999999E-5</v>
      </c>
      <c r="E76">
        <v>0.99973000000000001</v>
      </c>
      <c r="F76" s="8" t="s">
        <v>187</v>
      </c>
      <c r="G76" s="9" t="s">
        <v>191</v>
      </c>
      <c r="H76" s="9">
        <v>64</v>
      </c>
      <c r="I76" s="9">
        <v>1</v>
      </c>
      <c r="J76" s="9">
        <v>128</v>
      </c>
      <c r="K76" s="9">
        <v>32</v>
      </c>
      <c r="L76" s="9">
        <v>1</v>
      </c>
      <c r="M76" s="9">
        <v>1</v>
      </c>
      <c r="N76" s="9">
        <v>2</v>
      </c>
      <c r="O76" s="9">
        <v>512</v>
      </c>
      <c r="P76" s="18">
        <f t="shared" si="3"/>
        <v>21.443488618</v>
      </c>
      <c r="Q76" s="21">
        <f t="shared" si="4"/>
        <v>20.125</v>
      </c>
      <c r="R76" s="22">
        <f t="shared" si="5"/>
        <v>431.55020843724998</v>
      </c>
    </row>
    <row r="77" spans="1:18" x14ac:dyDescent="0.25">
      <c r="A77" t="s">
        <v>80</v>
      </c>
      <c r="B77">
        <v>7.0414810000000001</v>
      </c>
      <c r="C77">
        <v>0.12184499999999999</v>
      </c>
      <c r="D77">
        <v>2.0000000000000002E-5</v>
      </c>
      <c r="E77">
        <v>0.99973500000000004</v>
      </c>
      <c r="F77" s="8" t="s">
        <v>187</v>
      </c>
      <c r="G77" s="9" t="s">
        <v>191</v>
      </c>
      <c r="H77" s="9">
        <v>64</v>
      </c>
      <c r="I77" s="9">
        <v>1</v>
      </c>
      <c r="J77" s="9">
        <v>128</v>
      </c>
      <c r="K77" s="9">
        <v>64</v>
      </c>
      <c r="L77" s="9">
        <v>1</v>
      </c>
      <c r="M77" s="9">
        <v>1</v>
      </c>
      <c r="N77" s="9">
        <v>2</v>
      </c>
      <c r="O77" s="9">
        <v>512</v>
      </c>
      <c r="P77" s="18">
        <f t="shared" si="3"/>
        <v>21.443401577500001</v>
      </c>
      <c r="Q77" s="21">
        <f t="shared" si="4"/>
        <v>22.625</v>
      </c>
      <c r="R77" s="22">
        <f t="shared" si="5"/>
        <v>485.15696069093752</v>
      </c>
    </row>
    <row r="78" spans="1:18" x14ac:dyDescent="0.25">
      <c r="A78" t="s">
        <v>81</v>
      </c>
      <c r="B78">
        <v>7.0434999999999999</v>
      </c>
      <c r="C78">
        <v>0.12200999999999999</v>
      </c>
      <c r="D78">
        <v>1.9000000000000001E-5</v>
      </c>
      <c r="E78">
        <v>0.99704999999999999</v>
      </c>
      <c r="F78" s="8" t="s">
        <v>187</v>
      </c>
      <c r="G78" s="9" t="s">
        <v>191</v>
      </c>
      <c r="H78" s="9">
        <v>64</v>
      </c>
      <c r="I78" s="9">
        <v>1</v>
      </c>
      <c r="J78" s="9">
        <v>16</v>
      </c>
      <c r="K78" s="9">
        <v>128</v>
      </c>
      <c r="L78" s="9">
        <v>1</v>
      </c>
      <c r="M78" s="9">
        <v>1</v>
      </c>
      <c r="N78" s="9">
        <v>2</v>
      </c>
      <c r="O78" s="9">
        <v>512</v>
      </c>
      <c r="P78" s="18">
        <f t="shared" si="3"/>
        <v>21.430691445000001</v>
      </c>
      <c r="Q78" s="21">
        <f t="shared" si="4"/>
        <v>18.875</v>
      </c>
      <c r="R78" s="22">
        <f t="shared" si="5"/>
        <v>404.50430102437502</v>
      </c>
    </row>
    <row r="79" spans="1:18" x14ac:dyDescent="0.25">
      <c r="A79" t="s">
        <v>82</v>
      </c>
      <c r="B79">
        <v>7.043558</v>
      </c>
      <c r="C79">
        <v>0.12200999999999999</v>
      </c>
      <c r="D79">
        <v>2.4000000000000001E-5</v>
      </c>
      <c r="E79">
        <v>0.99702100000000005</v>
      </c>
      <c r="F79" s="8" t="s">
        <v>187</v>
      </c>
      <c r="G79" s="9" t="s">
        <v>191</v>
      </c>
      <c r="H79" s="9">
        <v>64</v>
      </c>
      <c r="I79" s="9">
        <v>1</v>
      </c>
      <c r="J79" s="9">
        <v>16</v>
      </c>
      <c r="K79" s="9">
        <v>16</v>
      </c>
      <c r="L79" s="9">
        <v>1</v>
      </c>
      <c r="M79" s="9">
        <v>1</v>
      </c>
      <c r="N79" s="9">
        <v>2</v>
      </c>
      <c r="O79" s="9">
        <v>512</v>
      </c>
      <c r="P79" s="18">
        <f t="shared" si="3"/>
        <v>21.430944071399999</v>
      </c>
      <c r="Q79" s="21">
        <f t="shared" si="4"/>
        <v>10.125</v>
      </c>
      <c r="R79" s="22">
        <f t="shared" si="5"/>
        <v>216.98830872292498</v>
      </c>
    </row>
    <row r="80" spans="1:18" x14ac:dyDescent="0.25">
      <c r="A80" t="s">
        <v>83</v>
      </c>
      <c r="B80">
        <v>7.046748</v>
      </c>
      <c r="C80">
        <v>0.12200999999999999</v>
      </c>
      <c r="D80">
        <v>2.0999999999999999E-5</v>
      </c>
      <c r="E80">
        <v>0.99703699999999995</v>
      </c>
      <c r="F80" s="8" t="s">
        <v>187</v>
      </c>
      <c r="G80" s="9" t="s">
        <v>191</v>
      </c>
      <c r="H80" s="9">
        <v>64</v>
      </c>
      <c r="I80" s="9">
        <v>1</v>
      </c>
      <c r="J80" s="9">
        <v>16</v>
      </c>
      <c r="K80" s="9">
        <v>32</v>
      </c>
      <c r="L80" s="9">
        <v>1</v>
      </c>
      <c r="M80" s="9">
        <v>1</v>
      </c>
      <c r="N80" s="9">
        <v>2</v>
      </c>
      <c r="O80" s="9">
        <v>512</v>
      </c>
      <c r="P80" s="18">
        <f t="shared" si="3"/>
        <v>21.434000214699999</v>
      </c>
      <c r="Q80" s="21">
        <f t="shared" si="4"/>
        <v>11.375</v>
      </c>
      <c r="R80" s="22">
        <f t="shared" si="5"/>
        <v>243.81175244221248</v>
      </c>
    </row>
    <row r="81" spans="1:18" x14ac:dyDescent="0.25">
      <c r="A81" t="s">
        <v>84</v>
      </c>
      <c r="B81">
        <v>7.0467339999999998</v>
      </c>
      <c r="C81">
        <v>0.12200999999999999</v>
      </c>
      <c r="D81">
        <v>2.0000000000000002E-5</v>
      </c>
      <c r="E81">
        <v>0.99704300000000001</v>
      </c>
      <c r="F81" s="8" t="s">
        <v>187</v>
      </c>
      <c r="G81" s="9" t="s">
        <v>191</v>
      </c>
      <c r="H81" s="9">
        <v>64</v>
      </c>
      <c r="I81" s="9">
        <v>1</v>
      </c>
      <c r="J81" s="9">
        <v>16</v>
      </c>
      <c r="K81" s="9">
        <v>64</v>
      </c>
      <c r="L81" s="9">
        <v>1</v>
      </c>
      <c r="M81" s="9">
        <v>1</v>
      </c>
      <c r="N81" s="9">
        <v>2</v>
      </c>
      <c r="O81" s="9">
        <v>512</v>
      </c>
      <c r="P81" s="18">
        <f t="shared" si="3"/>
        <v>21.433949729000002</v>
      </c>
      <c r="Q81" s="21">
        <f t="shared" si="4"/>
        <v>13.875</v>
      </c>
      <c r="R81" s="22">
        <f t="shared" si="5"/>
        <v>297.39605248987505</v>
      </c>
    </row>
    <row r="82" spans="1:18" x14ac:dyDescent="0.25">
      <c r="A82" t="s">
        <v>85</v>
      </c>
      <c r="B82">
        <v>7.0422409999999998</v>
      </c>
      <c r="C82">
        <v>0.12191299999999999</v>
      </c>
      <c r="D82">
        <v>1.9000000000000001E-5</v>
      </c>
      <c r="E82">
        <v>0.998637</v>
      </c>
      <c r="F82" s="8" t="s">
        <v>187</v>
      </c>
      <c r="G82" s="9" t="s">
        <v>191</v>
      </c>
      <c r="H82" s="9">
        <v>64</v>
      </c>
      <c r="I82" s="9">
        <v>1</v>
      </c>
      <c r="J82" s="9">
        <v>32</v>
      </c>
      <c r="K82" s="9">
        <v>128</v>
      </c>
      <c r="L82" s="9">
        <v>1</v>
      </c>
      <c r="M82" s="9">
        <v>1</v>
      </c>
      <c r="N82" s="9">
        <v>2</v>
      </c>
      <c r="O82" s="9">
        <v>512</v>
      </c>
      <c r="P82" s="18">
        <f t="shared" si="3"/>
        <v>21.4381416684</v>
      </c>
      <c r="Q82" s="21">
        <f t="shared" si="4"/>
        <v>20.125</v>
      </c>
      <c r="R82" s="22">
        <f t="shared" si="5"/>
        <v>431.44260107654998</v>
      </c>
    </row>
    <row r="83" spans="1:18" x14ac:dyDescent="0.25">
      <c r="A83" t="s">
        <v>86</v>
      </c>
      <c r="B83">
        <v>7.0423010000000001</v>
      </c>
      <c r="C83">
        <v>0.12191200000000001</v>
      </c>
      <c r="D83">
        <v>2.4000000000000001E-5</v>
      </c>
      <c r="E83">
        <v>0.99860800000000005</v>
      </c>
      <c r="F83" s="8" t="s">
        <v>187</v>
      </c>
      <c r="G83" s="9" t="s">
        <v>191</v>
      </c>
      <c r="H83" s="9">
        <v>64</v>
      </c>
      <c r="I83" s="9">
        <v>1</v>
      </c>
      <c r="J83" s="9">
        <v>32</v>
      </c>
      <c r="K83" s="9">
        <v>16</v>
      </c>
      <c r="L83" s="9">
        <v>1</v>
      </c>
      <c r="M83" s="9">
        <v>1</v>
      </c>
      <c r="N83" s="9">
        <v>2</v>
      </c>
      <c r="O83" s="9">
        <v>512</v>
      </c>
      <c r="P83" s="18">
        <f t="shared" si="3"/>
        <v>21.438287508800002</v>
      </c>
      <c r="Q83" s="21">
        <f t="shared" si="4"/>
        <v>11.375</v>
      </c>
      <c r="R83" s="22">
        <f t="shared" si="5"/>
        <v>243.86052041260001</v>
      </c>
    </row>
    <row r="84" spans="1:18" x14ac:dyDescent="0.25">
      <c r="A84" t="s">
        <v>87</v>
      </c>
      <c r="B84">
        <v>7.042268</v>
      </c>
      <c r="C84">
        <v>0.12191200000000001</v>
      </c>
      <c r="D84">
        <v>2.0999999999999999E-5</v>
      </c>
      <c r="E84">
        <v>0.99862399999999996</v>
      </c>
      <c r="F84" s="8" t="s">
        <v>187</v>
      </c>
      <c r="G84" s="9" t="s">
        <v>191</v>
      </c>
      <c r="H84" s="9">
        <v>64</v>
      </c>
      <c r="I84" s="9">
        <v>1</v>
      </c>
      <c r="J84" s="9">
        <v>32</v>
      </c>
      <c r="K84" s="9">
        <v>32</v>
      </c>
      <c r="L84" s="9">
        <v>1</v>
      </c>
      <c r="M84" s="9">
        <v>1</v>
      </c>
      <c r="N84" s="9">
        <v>2</v>
      </c>
      <c r="O84" s="9">
        <v>512</v>
      </c>
      <c r="P84" s="18">
        <f t="shared" si="3"/>
        <v>21.438120019199999</v>
      </c>
      <c r="Q84" s="21">
        <f t="shared" si="4"/>
        <v>12.625</v>
      </c>
      <c r="R84" s="22">
        <f t="shared" si="5"/>
        <v>270.65626524239997</v>
      </c>
    </row>
    <row r="85" spans="1:18" x14ac:dyDescent="0.25">
      <c r="A85" t="s">
        <v>88</v>
      </c>
      <c r="B85">
        <v>7.0422409999999998</v>
      </c>
      <c r="C85">
        <v>0.12191200000000001</v>
      </c>
      <c r="D85">
        <v>2.0000000000000002E-5</v>
      </c>
      <c r="E85">
        <v>0.99863000000000002</v>
      </c>
      <c r="F85" s="8" t="s">
        <v>187</v>
      </c>
      <c r="G85" s="9" t="s">
        <v>191</v>
      </c>
      <c r="H85" s="9">
        <v>64</v>
      </c>
      <c r="I85" s="9">
        <v>1</v>
      </c>
      <c r="J85" s="9">
        <v>32</v>
      </c>
      <c r="K85" s="9">
        <v>64</v>
      </c>
      <c r="L85" s="9">
        <v>1</v>
      </c>
      <c r="M85" s="9">
        <v>1</v>
      </c>
      <c r="N85" s="9">
        <v>2</v>
      </c>
      <c r="O85" s="9">
        <v>512</v>
      </c>
      <c r="P85" s="18">
        <f t="shared" si="3"/>
        <v>21.438056316000001</v>
      </c>
      <c r="Q85" s="21">
        <f t="shared" si="4"/>
        <v>15.125</v>
      </c>
      <c r="R85" s="22">
        <f t="shared" si="5"/>
        <v>324.25060177950002</v>
      </c>
    </row>
    <row r="86" spans="1:18" x14ac:dyDescent="0.25">
      <c r="A86" t="s">
        <v>89</v>
      </c>
      <c r="B86">
        <v>7.0417670000000001</v>
      </c>
      <c r="C86">
        <v>0.12187000000000001</v>
      </c>
      <c r="D86">
        <v>1.9000000000000001E-5</v>
      </c>
      <c r="E86">
        <v>0.99933399999999994</v>
      </c>
      <c r="F86" s="8" t="s">
        <v>187</v>
      </c>
      <c r="G86" s="9" t="s">
        <v>191</v>
      </c>
      <c r="H86" s="9">
        <v>64</v>
      </c>
      <c r="I86" s="9">
        <v>1</v>
      </c>
      <c r="J86" s="9">
        <v>64</v>
      </c>
      <c r="K86" s="9">
        <v>128</v>
      </c>
      <c r="L86" s="9">
        <v>1</v>
      </c>
      <c r="M86" s="9">
        <v>1</v>
      </c>
      <c r="N86" s="9">
        <v>2</v>
      </c>
      <c r="O86" s="9">
        <v>512</v>
      </c>
      <c r="P86" s="18">
        <f t="shared" si="3"/>
        <v>21.441439192600001</v>
      </c>
      <c r="Q86" s="21">
        <f t="shared" si="4"/>
        <v>22.625</v>
      </c>
      <c r="R86" s="22">
        <f t="shared" si="5"/>
        <v>485.11256173257505</v>
      </c>
    </row>
    <row r="87" spans="1:18" x14ac:dyDescent="0.25">
      <c r="A87" t="s">
        <v>90</v>
      </c>
      <c r="B87">
        <v>7.0418070000000004</v>
      </c>
      <c r="C87">
        <v>0.12187000000000001</v>
      </c>
      <c r="D87">
        <v>2.4000000000000001E-5</v>
      </c>
      <c r="E87">
        <v>0.999305</v>
      </c>
      <c r="F87" s="8" t="s">
        <v>187</v>
      </c>
      <c r="G87" s="9" t="s">
        <v>191</v>
      </c>
      <c r="H87" s="9">
        <v>64</v>
      </c>
      <c r="I87" s="9">
        <v>1</v>
      </c>
      <c r="J87" s="9">
        <v>64</v>
      </c>
      <c r="K87" s="9">
        <v>16</v>
      </c>
      <c r="L87" s="9">
        <v>1</v>
      </c>
      <c r="M87" s="9">
        <v>1</v>
      </c>
      <c r="N87" s="9">
        <v>2</v>
      </c>
      <c r="O87" s="9">
        <v>512</v>
      </c>
      <c r="P87" s="18">
        <f t="shared" si="3"/>
        <v>21.441675367000002</v>
      </c>
      <c r="Q87" s="21">
        <f t="shared" si="4"/>
        <v>13.875</v>
      </c>
      <c r="R87" s="22">
        <f t="shared" si="5"/>
        <v>297.50324571712503</v>
      </c>
    </row>
    <row r="88" spans="1:18" x14ac:dyDescent="0.25">
      <c r="A88" t="s">
        <v>91</v>
      </c>
      <c r="B88">
        <v>7.0417670000000001</v>
      </c>
      <c r="C88">
        <v>0.12187000000000001</v>
      </c>
      <c r="D88">
        <v>2.0999999999999999E-5</v>
      </c>
      <c r="E88">
        <v>0.99932200000000004</v>
      </c>
      <c r="F88" s="8" t="s">
        <v>187</v>
      </c>
      <c r="G88" s="9" t="s">
        <v>191</v>
      </c>
      <c r="H88" s="9">
        <v>64</v>
      </c>
      <c r="I88" s="9">
        <v>1</v>
      </c>
      <c r="J88" s="9">
        <v>64</v>
      </c>
      <c r="K88" s="9">
        <v>32</v>
      </c>
      <c r="L88" s="9">
        <v>1</v>
      </c>
      <c r="M88" s="9">
        <v>1</v>
      </c>
      <c r="N88" s="9">
        <v>2</v>
      </c>
      <c r="O88" s="9">
        <v>512</v>
      </c>
      <c r="P88" s="18">
        <f t="shared" si="3"/>
        <v>21.441512790200001</v>
      </c>
      <c r="Q88" s="21">
        <f t="shared" si="4"/>
        <v>15.125</v>
      </c>
      <c r="R88" s="22">
        <f t="shared" si="5"/>
        <v>324.30288095177502</v>
      </c>
    </row>
    <row r="89" spans="1:18" x14ac:dyDescent="0.25">
      <c r="A89" t="s">
        <v>92</v>
      </c>
      <c r="B89">
        <v>7.0417759999999996</v>
      </c>
      <c r="C89">
        <v>0.12187000000000001</v>
      </c>
      <c r="D89">
        <v>2.0000000000000002E-5</v>
      </c>
      <c r="E89">
        <v>0.99932699999999997</v>
      </c>
      <c r="F89" s="8" t="s">
        <v>187</v>
      </c>
      <c r="G89" s="9" t="s">
        <v>191</v>
      </c>
      <c r="H89" s="9">
        <v>64</v>
      </c>
      <c r="I89" s="9">
        <v>1</v>
      </c>
      <c r="J89" s="9">
        <v>64</v>
      </c>
      <c r="K89" s="9">
        <v>64</v>
      </c>
      <c r="L89" s="9">
        <v>1</v>
      </c>
      <c r="M89" s="9">
        <v>1</v>
      </c>
      <c r="N89" s="9">
        <v>2</v>
      </c>
      <c r="O89" s="9">
        <v>512</v>
      </c>
      <c r="P89" s="18">
        <f t="shared" si="3"/>
        <v>21.441472803</v>
      </c>
      <c r="Q89" s="21">
        <f t="shared" si="4"/>
        <v>17.625</v>
      </c>
      <c r="R89" s="22">
        <f t="shared" si="5"/>
        <v>377.90595815287497</v>
      </c>
    </row>
    <row r="90" spans="1:18" x14ac:dyDescent="0.25">
      <c r="A90" t="s">
        <v>93</v>
      </c>
      <c r="B90">
        <v>7.0422409999999998</v>
      </c>
      <c r="C90">
        <v>0.12191200000000001</v>
      </c>
      <c r="D90">
        <v>2.0000000000000002E-5</v>
      </c>
      <c r="E90">
        <v>0.99863000000000002</v>
      </c>
      <c r="F90" s="8" t="s">
        <v>187</v>
      </c>
      <c r="G90" s="9" t="s">
        <v>192</v>
      </c>
      <c r="H90" s="9">
        <v>64</v>
      </c>
      <c r="I90" s="9">
        <v>1</v>
      </c>
      <c r="J90" s="9">
        <v>32</v>
      </c>
      <c r="K90" s="9">
        <v>32</v>
      </c>
      <c r="L90" s="9">
        <v>1</v>
      </c>
      <c r="M90" s="9">
        <v>1</v>
      </c>
      <c r="N90" s="9">
        <v>2</v>
      </c>
      <c r="O90" s="9">
        <v>512</v>
      </c>
      <c r="P90" s="18">
        <f t="shared" si="3"/>
        <v>21.438056316000001</v>
      </c>
      <c r="Q90" s="21">
        <f t="shared" si="4"/>
        <v>12.625</v>
      </c>
      <c r="R90" s="22">
        <f t="shared" si="5"/>
        <v>270.6554609895</v>
      </c>
    </row>
    <row r="91" spans="1:18" x14ac:dyDescent="0.25">
      <c r="A91" t="s">
        <v>94</v>
      </c>
      <c r="B91">
        <v>7.0412840000000001</v>
      </c>
      <c r="C91">
        <v>0.12183099999999999</v>
      </c>
      <c r="D91">
        <v>2.0000000000000002E-5</v>
      </c>
      <c r="E91">
        <v>0.99995400000000001</v>
      </c>
      <c r="F91" s="8" t="s">
        <v>187</v>
      </c>
      <c r="G91" s="9" t="s">
        <v>192</v>
      </c>
      <c r="H91" s="9">
        <v>64</v>
      </c>
      <c r="I91" s="9">
        <v>1</v>
      </c>
      <c r="J91" s="9">
        <v>32</v>
      </c>
      <c r="K91" s="9">
        <v>32</v>
      </c>
      <c r="L91" s="9">
        <v>2</v>
      </c>
      <c r="M91" s="9">
        <v>1</v>
      </c>
      <c r="N91" s="9">
        <v>2</v>
      </c>
      <c r="O91" s="9">
        <v>512</v>
      </c>
      <c r="P91" s="18">
        <f t="shared" si="3"/>
        <v>21.444333485400001</v>
      </c>
      <c r="Q91" s="21">
        <f t="shared" si="4"/>
        <v>15.125</v>
      </c>
      <c r="R91" s="22">
        <f t="shared" si="5"/>
        <v>324.345543966675</v>
      </c>
    </row>
    <row r="92" spans="1:18" x14ac:dyDescent="0.25">
      <c r="A92" t="s">
        <v>95</v>
      </c>
      <c r="B92">
        <v>7.0412840000000001</v>
      </c>
      <c r="C92">
        <v>0.12182900000000001</v>
      </c>
      <c r="D92">
        <v>2.0000000000000002E-5</v>
      </c>
      <c r="E92">
        <v>0.999973</v>
      </c>
      <c r="F92" s="8" t="s">
        <v>187</v>
      </c>
      <c r="G92" s="9" t="s">
        <v>192</v>
      </c>
      <c r="H92" s="9">
        <v>64</v>
      </c>
      <c r="I92" s="9">
        <v>1</v>
      </c>
      <c r="J92" s="9">
        <v>32</v>
      </c>
      <c r="K92" s="9">
        <v>32</v>
      </c>
      <c r="L92" s="9">
        <v>4</v>
      </c>
      <c r="M92" s="9">
        <v>1</v>
      </c>
      <c r="N92" s="9">
        <v>2</v>
      </c>
      <c r="O92" s="9">
        <v>512</v>
      </c>
      <c r="P92" s="18">
        <f t="shared" si="3"/>
        <v>21.444345007700001</v>
      </c>
      <c r="Q92" s="21">
        <f t="shared" si="4"/>
        <v>20.125</v>
      </c>
      <c r="R92" s="22">
        <f t="shared" si="5"/>
        <v>431.5674432799625</v>
      </c>
    </row>
    <row r="93" spans="1:18" x14ac:dyDescent="0.25">
      <c r="A93" t="s">
        <v>96</v>
      </c>
      <c r="B93">
        <v>7.0422409999999998</v>
      </c>
      <c r="C93">
        <v>0.12191200000000001</v>
      </c>
      <c r="D93">
        <v>2.0000000000000002E-5</v>
      </c>
      <c r="E93">
        <v>0.99863000000000002</v>
      </c>
      <c r="F93" s="8" t="s">
        <v>187</v>
      </c>
      <c r="G93" s="9" t="s">
        <v>193</v>
      </c>
      <c r="H93" s="9">
        <v>64</v>
      </c>
      <c r="I93" s="9">
        <v>1</v>
      </c>
      <c r="J93" s="9">
        <v>32</v>
      </c>
      <c r="K93" s="9">
        <v>32</v>
      </c>
      <c r="L93" s="9">
        <v>1</v>
      </c>
      <c r="M93" s="9">
        <v>1</v>
      </c>
      <c r="N93" s="9">
        <v>2</v>
      </c>
      <c r="O93" s="9">
        <v>512</v>
      </c>
      <c r="P93" s="18">
        <f t="shared" si="3"/>
        <v>21.438056316000001</v>
      </c>
      <c r="Q93" s="21">
        <f t="shared" si="4"/>
        <v>12.625</v>
      </c>
      <c r="R93" s="22">
        <f t="shared" si="5"/>
        <v>270.6554609895</v>
      </c>
    </row>
    <row r="94" spans="1:18" x14ac:dyDescent="0.25">
      <c r="A94" t="s">
        <v>97</v>
      </c>
      <c r="B94">
        <v>7.0422180000000001</v>
      </c>
      <c r="C94">
        <v>0.12191299999999999</v>
      </c>
      <c r="D94">
        <v>1.9000000000000001E-5</v>
      </c>
      <c r="E94">
        <v>0.99863800000000003</v>
      </c>
      <c r="F94" s="8" t="s">
        <v>187</v>
      </c>
      <c r="G94" s="9" t="s">
        <v>193</v>
      </c>
      <c r="H94" s="9">
        <v>64</v>
      </c>
      <c r="I94" s="9">
        <v>1</v>
      </c>
      <c r="J94" s="9">
        <v>32</v>
      </c>
      <c r="K94" s="9">
        <v>32</v>
      </c>
      <c r="L94" s="9">
        <v>1</v>
      </c>
      <c r="M94" s="9">
        <v>2</v>
      </c>
      <c r="N94" s="9">
        <v>2</v>
      </c>
      <c r="O94" s="9">
        <v>512</v>
      </c>
      <c r="P94" s="18">
        <f t="shared" si="3"/>
        <v>21.438130861600001</v>
      </c>
      <c r="Q94" s="21">
        <f t="shared" si="4"/>
        <v>12.625</v>
      </c>
      <c r="R94" s="22">
        <f t="shared" si="5"/>
        <v>270.65640212770001</v>
      </c>
    </row>
    <row r="95" spans="1:18" x14ac:dyDescent="0.25">
      <c r="A95" t="s">
        <v>98</v>
      </c>
      <c r="B95">
        <v>7.0422560000000001</v>
      </c>
      <c r="C95">
        <v>0.12191299999999999</v>
      </c>
      <c r="D95">
        <v>1.9000000000000001E-5</v>
      </c>
      <c r="E95">
        <v>0.99863800000000003</v>
      </c>
      <c r="F95" s="8" t="s">
        <v>187</v>
      </c>
      <c r="G95" s="9" t="s">
        <v>193</v>
      </c>
      <c r="H95" s="9">
        <v>64</v>
      </c>
      <c r="I95" s="9">
        <v>1</v>
      </c>
      <c r="J95" s="9">
        <v>32</v>
      </c>
      <c r="K95" s="9">
        <v>32</v>
      </c>
      <c r="L95" s="9">
        <v>1</v>
      </c>
      <c r="M95" s="9">
        <v>4</v>
      </c>
      <c r="N95" s="9">
        <v>2</v>
      </c>
      <c r="O95" s="9">
        <v>512</v>
      </c>
      <c r="P95" s="18">
        <f t="shared" si="3"/>
        <v>21.438168861599998</v>
      </c>
      <c r="Q95" s="21">
        <f t="shared" si="4"/>
        <v>12.625</v>
      </c>
      <c r="R95" s="22">
        <f t="shared" si="5"/>
        <v>270.65688187769996</v>
      </c>
    </row>
    <row r="96" spans="1:18" x14ac:dyDescent="0.25">
      <c r="A96" t="s">
        <v>99</v>
      </c>
      <c r="B96">
        <v>7.0423330000000002</v>
      </c>
      <c r="C96">
        <v>0.12191200000000001</v>
      </c>
      <c r="D96">
        <v>2.0000000000000002E-5</v>
      </c>
      <c r="E96">
        <v>0.998668</v>
      </c>
      <c r="F96" s="8" t="s">
        <v>187</v>
      </c>
      <c r="G96" s="9" t="s">
        <v>194</v>
      </c>
      <c r="H96" s="9">
        <v>64</v>
      </c>
      <c r="I96" s="9">
        <v>1</v>
      </c>
      <c r="J96" s="9">
        <v>32</v>
      </c>
      <c r="K96" s="9">
        <v>32</v>
      </c>
      <c r="L96" s="9">
        <v>1</v>
      </c>
      <c r="M96" s="9">
        <v>1</v>
      </c>
      <c r="N96" s="9">
        <v>1</v>
      </c>
      <c r="O96" s="9">
        <v>512</v>
      </c>
      <c r="P96" s="18">
        <f t="shared" si="3"/>
        <v>21.438611657600003</v>
      </c>
      <c r="Q96" s="21">
        <f t="shared" si="4"/>
        <v>12.625</v>
      </c>
      <c r="R96" s="22">
        <f t="shared" si="5"/>
        <v>270.66247217720002</v>
      </c>
    </row>
    <row r="97" spans="1:18" x14ac:dyDescent="0.25">
      <c r="A97" t="s">
        <v>100</v>
      </c>
      <c r="B97">
        <v>7.0422409999999998</v>
      </c>
      <c r="C97">
        <v>0.12191200000000001</v>
      </c>
      <c r="D97">
        <v>2.0000000000000002E-5</v>
      </c>
      <c r="E97">
        <v>0.99863000000000002</v>
      </c>
      <c r="F97" s="8" t="s">
        <v>187</v>
      </c>
      <c r="G97" s="9" t="s">
        <v>194</v>
      </c>
      <c r="H97" s="9">
        <v>64</v>
      </c>
      <c r="I97" s="9">
        <v>1</v>
      </c>
      <c r="J97" s="9">
        <v>32</v>
      </c>
      <c r="K97" s="9">
        <v>32</v>
      </c>
      <c r="L97" s="9">
        <v>1</v>
      </c>
      <c r="M97" s="9">
        <v>1</v>
      </c>
      <c r="N97" s="9">
        <v>2</v>
      </c>
      <c r="O97" s="9">
        <v>512</v>
      </c>
      <c r="P97" s="18">
        <f t="shared" si="3"/>
        <v>21.438056316000001</v>
      </c>
      <c r="Q97" s="21">
        <f t="shared" si="4"/>
        <v>12.625</v>
      </c>
      <c r="R97" s="22">
        <f t="shared" si="5"/>
        <v>270.6554609895</v>
      </c>
    </row>
    <row r="98" spans="1:18" x14ac:dyDescent="0.25">
      <c r="A98" t="s">
        <v>101</v>
      </c>
      <c r="B98">
        <v>7.0423710000000002</v>
      </c>
      <c r="C98">
        <v>0.12191299999999999</v>
      </c>
      <c r="D98">
        <v>2.0000000000000002E-5</v>
      </c>
      <c r="E98">
        <v>0.99863000000000002</v>
      </c>
      <c r="F98" s="8" t="s">
        <v>187</v>
      </c>
      <c r="G98" s="9" t="s">
        <v>194</v>
      </c>
      <c r="H98" s="9">
        <v>64</v>
      </c>
      <c r="I98" s="9">
        <v>1</v>
      </c>
      <c r="J98" s="9">
        <v>32</v>
      </c>
      <c r="K98" s="9">
        <v>32</v>
      </c>
      <c r="L98" s="9">
        <v>1</v>
      </c>
      <c r="M98" s="9">
        <v>1</v>
      </c>
      <c r="N98" s="9">
        <v>4</v>
      </c>
      <c r="O98" s="9">
        <v>512</v>
      </c>
      <c r="P98" s="18">
        <f t="shared" si="3"/>
        <v>21.438296179000002</v>
      </c>
      <c r="Q98" s="21">
        <f t="shared" si="4"/>
        <v>12.625</v>
      </c>
      <c r="R98" s="22">
        <f t="shared" si="5"/>
        <v>270.65848925987501</v>
      </c>
    </row>
    <row r="99" spans="1:18" x14ac:dyDescent="0.25">
      <c r="A99" t="s">
        <v>102</v>
      </c>
      <c r="B99">
        <v>7.0419270000000003</v>
      </c>
      <c r="C99">
        <v>0.12191200000000001</v>
      </c>
      <c r="D99">
        <v>2.0000000000000002E-5</v>
      </c>
      <c r="E99">
        <v>0.99863000000000002</v>
      </c>
      <c r="F99" s="8" t="s">
        <v>187</v>
      </c>
      <c r="G99" s="9" t="s">
        <v>184</v>
      </c>
      <c r="H99" s="9">
        <v>64</v>
      </c>
      <c r="I99" s="9">
        <v>1</v>
      </c>
      <c r="J99" s="9">
        <v>32</v>
      </c>
      <c r="K99" s="9">
        <v>32</v>
      </c>
      <c r="L99" s="9">
        <v>1</v>
      </c>
      <c r="M99" s="9">
        <v>1</v>
      </c>
      <c r="N99" s="9">
        <v>2</v>
      </c>
      <c r="O99" s="9">
        <v>1024</v>
      </c>
      <c r="P99" s="18">
        <f t="shared" si="3"/>
        <v>21.437742316000001</v>
      </c>
      <c r="Q99" s="21">
        <f t="shared" si="4"/>
        <v>12.75</v>
      </c>
      <c r="R99" s="22">
        <f t="shared" si="5"/>
        <v>273.33121452900002</v>
      </c>
    </row>
    <row r="100" spans="1:18" x14ac:dyDescent="0.25">
      <c r="A100" t="s">
        <v>103</v>
      </c>
      <c r="B100">
        <v>7.0424170000000004</v>
      </c>
      <c r="C100">
        <v>0.12191200000000001</v>
      </c>
      <c r="D100">
        <v>2.0000000000000002E-5</v>
      </c>
      <c r="E100">
        <v>0.99863100000000005</v>
      </c>
      <c r="F100" s="8" t="s">
        <v>187</v>
      </c>
      <c r="G100" s="9" t="s">
        <v>184</v>
      </c>
      <c r="H100" s="9">
        <v>64</v>
      </c>
      <c r="I100" s="9">
        <v>1</v>
      </c>
      <c r="J100" s="9">
        <v>32</v>
      </c>
      <c r="K100" s="9">
        <v>32</v>
      </c>
      <c r="L100" s="9">
        <v>1</v>
      </c>
      <c r="M100" s="9">
        <v>1</v>
      </c>
      <c r="N100" s="9">
        <v>2</v>
      </c>
      <c r="O100" s="9">
        <v>256</v>
      </c>
      <c r="P100" s="18">
        <f t="shared" si="3"/>
        <v>21.438244509200004</v>
      </c>
      <c r="Q100" s="21">
        <f t="shared" si="4"/>
        <v>12.5625</v>
      </c>
      <c r="R100" s="22">
        <f t="shared" si="5"/>
        <v>269.31794664682508</v>
      </c>
    </row>
    <row r="101" spans="1:18" x14ac:dyDescent="0.25">
      <c r="A101" t="s">
        <v>104</v>
      </c>
      <c r="B101">
        <v>7.0411229999999998</v>
      </c>
      <c r="C101">
        <v>0.12191200000000001</v>
      </c>
      <c r="D101">
        <v>2.0000000000000002E-5</v>
      </c>
      <c r="E101">
        <v>0.99863000000000002</v>
      </c>
      <c r="F101" s="8" t="s">
        <v>187</v>
      </c>
      <c r="G101" s="9" t="s">
        <v>184</v>
      </c>
      <c r="H101" s="9">
        <v>64</v>
      </c>
      <c r="I101" s="9">
        <v>1</v>
      </c>
      <c r="J101" s="9">
        <v>32</v>
      </c>
      <c r="K101" s="9">
        <v>32</v>
      </c>
      <c r="L101" s="9">
        <v>1</v>
      </c>
      <c r="M101" s="9">
        <v>1</v>
      </c>
      <c r="N101" s="9">
        <v>2</v>
      </c>
      <c r="O101" s="9">
        <v>2048</v>
      </c>
      <c r="P101" s="18">
        <f t="shared" si="3"/>
        <v>21.436938316000003</v>
      </c>
      <c r="Q101" s="21">
        <f t="shared" si="4"/>
        <v>13</v>
      </c>
      <c r="R101" s="22">
        <f t="shared" si="5"/>
        <v>278.68019810800001</v>
      </c>
    </row>
    <row r="102" spans="1:18" x14ac:dyDescent="0.25">
      <c r="A102" t="s">
        <v>105</v>
      </c>
      <c r="B102">
        <v>7.0394959999999998</v>
      </c>
      <c r="C102">
        <v>0.12191200000000001</v>
      </c>
      <c r="D102">
        <v>2.0000000000000002E-5</v>
      </c>
      <c r="E102">
        <v>0.99863000000000002</v>
      </c>
      <c r="F102" s="8" t="s">
        <v>187</v>
      </c>
      <c r="G102" s="9" t="s">
        <v>184</v>
      </c>
      <c r="H102" s="9">
        <v>64</v>
      </c>
      <c r="I102" s="9">
        <v>1</v>
      </c>
      <c r="J102" s="9">
        <v>32</v>
      </c>
      <c r="K102" s="9">
        <v>32</v>
      </c>
      <c r="L102" s="9">
        <v>1</v>
      </c>
      <c r="M102" s="9">
        <v>1</v>
      </c>
      <c r="N102" s="9">
        <v>2</v>
      </c>
      <c r="O102" s="9">
        <v>4096</v>
      </c>
      <c r="P102" s="18">
        <f t="shared" si="3"/>
        <v>21.435311316000004</v>
      </c>
      <c r="Q102" s="21">
        <f t="shared" si="4"/>
        <v>13.5</v>
      </c>
      <c r="R102" s="22">
        <f t="shared" si="5"/>
        <v>289.37670276600005</v>
      </c>
    </row>
    <row r="103" spans="1:18" ht="15.75" thickBot="1" x14ac:dyDescent="0.3">
      <c r="A103" t="s">
        <v>106</v>
      </c>
      <c r="B103">
        <v>7.0422409999999998</v>
      </c>
      <c r="C103">
        <v>0.12191200000000001</v>
      </c>
      <c r="D103">
        <v>2.0000000000000002E-5</v>
      </c>
      <c r="E103">
        <v>0.99863000000000002</v>
      </c>
      <c r="F103" s="10" t="s">
        <v>187</v>
      </c>
      <c r="G103" s="11" t="s">
        <v>184</v>
      </c>
      <c r="H103" s="11">
        <v>64</v>
      </c>
      <c r="I103" s="11">
        <v>1</v>
      </c>
      <c r="J103" s="11">
        <v>32</v>
      </c>
      <c r="K103" s="11">
        <v>32</v>
      </c>
      <c r="L103" s="11">
        <v>1</v>
      </c>
      <c r="M103" s="11">
        <v>1</v>
      </c>
      <c r="N103" s="11">
        <v>2</v>
      </c>
      <c r="O103" s="11">
        <v>512</v>
      </c>
      <c r="P103" s="19">
        <f t="shared" si="3"/>
        <v>21.438056316000001</v>
      </c>
      <c r="Q103" s="21">
        <f t="shared" si="4"/>
        <v>12.625</v>
      </c>
      <c r="R103" s="24">
        <f t="shared" si="5"/>
        <v>270.6554609895</v>
      </c>
    </row>
    <row r="104" spans="1:18" x14ac:dyDescent="0.25">
      <c r="A104" t="s">
        <v>107</v>
      </c>
      <c r="B104">
        <v>1.0883020000000001</v>
      </c>
      <c r="C104">
        <v>2.8579999999999999E-3</v>
      </c>
      <c r="D104">
        <v>3.4999999999999997E-5</v>
      </c>
      <c r="E104">
        <v>0.33643800000000001</v>
      </c>
      <c r="F104" s="6" t="s">
        <v>188</v>
      </c>
      <c r="G104" s="7" t="s">
        <v>190</v>
      </c>
      <c r="H104" s="7">
        <v>128</v>
      </c>
      <c r="I104" s="7">
        <v>1</v>
      </c>
      <c r="J104" s="7">
        <v>32</v>
      </c>
      <c r="K104" s="7">
        <v>32</v>
      </c>
      <c r="L104" s="7">
        <v>1</v>
      </c>
      <c r="M104" s="7">
        <v>1</v>
      </c>
      <c r="N104" s="7">
        <v>2</v>
      </c>
      <c r="O104" s="7">
        <v>512</v>
      </c>
      <c r="P104" s="20">
        <f t="shared" si="3"/>
        <v>2.2145635133999999</v>
      </c>
      <c r="Q104" s="21">
        <f t="shared" si="4"/>
        <v>17.625</v>
      </c>
      <c r="R104" s="25">
        <f t="shared" si="5"/>
        <v>39.031681923674995</v>
      </c>
    </row>
    <row r="105" spans="1:18" x14ac:dyDescent="0.25">
      <c r="A105" t="s">
        <v>108</v>
      </c>
      <c r="B105">
        <v>1.129462</v>
      </c>
      <c r="C105">
        <v>4.2399999999999998E-3</v>
      </c>
      <c r="D105">
        <v>3.6999999999999998E-5</v>
      </c>
      <c r="E105">
        <v>0.69636799999999999</v>
      </c>
      <c r="F105" s="8" t="s">
        <v>188</v>
      </c>
      <c r="G105" s="9" t="s">
        <v>190</v>
      </c>
      <c r="H105" s="9">
        <v>32</v>
      </c>
      <c r="I105" s="9">
        <v>1</v>
      </c>
      <c r="J105" s="9">
        <v>32</v>
      </c>
      <c r="K105" s="9">
        <v>32</v>
      </c>
      <c r="L105" s="9">
        <v>1</v>
      </c>
      <c r="M105" s="9">
        <v>1</v>
      </c>
      <c r="N105" s="9">
        <v>2</v>
      </c>
      <c r="O105" s="9">
        <v>512</v>
      </c>
      <c r="P105" s="18">
        <f t="shared" si="3"/>
        <v>2.4700685935999998</v>
      </c>
      <c r="Q105" s="21">
        <f t="shared" si="4"/>
        <v>10.125</v>
      </c>
      <c r="R105" s="22">
        <f t="shared" si="5"/>
        <v>25.009444510199998</v>
      </c>
    </row>
    <row r="106" spans="1:18" x14ac:dyDescent="0.25">
      <c r="A106" t="s">
        <v>109</v>
      </c>
      <c r="B106">
        <v>1.1022460000000001</v>
      </c>
      <c r="C106">
        <v>3.2320000000000001E-3</v>
      </c>
      <c r="D106">
        <v>3.4E-5</v>
      </c>
      <c r="E106">
        <v>0.54118900000000003</v>
      </c>
      <c r="F106" s="8" t="s">
        <v>188</v>
      </c>
      <c r="G106" s="9" t="s">
        <v>190</v>
      </c>
      <c r="H106" s="9">
        <v>64</v>
      </c>
      <c r="I106" s="9">
        <v>1</v>
      </c>
      <c r="J106" s="9">
        <v>32</v>
      </c>
      <c r="K106" s="9">
        <v>32</v>
      </c>
      <c r="L106" s="9">
        <v>1</v>
      </c>
      <c r="M106" s="9">
        <v>1</v>
      </c>
      <c r="N106" s="9">
        <v>2</v>
      </c>
      <c r="O106" s="9">
        <v>512</v>
      </c>
      <c r="P106" s="18">
        <f t="shared" si="3"/>
        <v>2.3116583274</v>
      </c>
      <c r="Q106" s="21">
        <f t="shared" si="4"/>
        <v>12.625</v>
      </c>
      <c r="R106" s="22">
        <f t="shared" si="5"/>
        <v>29.184686383424999</v>
      </c>
    </row>
    <row r="107" spans="1:18" x14ac:dyDescent="0.25">
      <c r="A107" t="s">
        <v>110</v>
      </c>
      <c r="B107">
        <v>1.1022460000000001</v>
      </c>
      <c r="C107">
        <v>3.2320000000000001E-3</v>
      </c>
      <c r="D107">
        <v>3.4E-5</v>
      </c>
      <c r="E107">
        <v>0.54118900000000003</v>
      </c>
      <c r="F107" s="8" t="s">
        <v>188</v>
      </c>
      <c r="G107" s="9" t="s">
        <v>195</v>
      </c>
      <c r="H107" s="9">
        <v>64</v>
      </c>
      <c r="I107" s="9">
        <v>1</v>
      </c>
      <c r="J107" s="9">
        <v>32</v>
      </c>
      <c r="K107" s="9">
        <v>32</v>
      </c>
      <c r="L107" s="9">
        <v>1</v>
      </c>
      <c r="M107" s="9">
        <v>1</v>
      </c>
      <c r="N107" s="9">
        <v>2</v>
      </c>
      <c r="O107" s="9">
        <v>512</v>
      </c>
      <c r="P107" s="18">
        <f t="shared" si="3"/>
        <v>2.3116583274</v>
      </c>
      <c r="Q107" s="21">
        <f t="shared" si="4"/>
        <v>12.625</v>
      </c>
      <c r="R107" s="22">
        <f t="shared" si="5"/>
        <v>29.184686383424999</v>
      </c>
    </row>
    <row r="108" spans="1:18" x14ac:dyDescent="0.25">
      <c r="A108" t="s">
        <v>111</v>
      </c>
      <c r="B108">
        <v>1.097575</v>
      </c>
      <c r="C108">
        <v>2.2200000000000002E-3</v>
      </c>
      <c r="D108">
        <v>2.9E-5</v>
      </c>
      <c r="E108">
        <v>0.79192600000000002</v>
      </c>
      <c r="F108" s="8" t="s">
        <v>188</v>
      </c>
      <c r="G108" s="9" t="s">
        <v>191</v>
      </c>
      <c r="H108" s="9">
        <v>64</v>
      </c>
      <c r="I108" s="9">
        <v>1</v>
      </c>
      <c r="J108" s="9">
        <v>128</v>
      </c>
      <c r="K108" s="9">
        <v>128</v>
      </c>
      <c r="L108" s="9">
        <v>1</v>
      </c>
      <c r="M108" s="9">
        <v>1</v>
      </c>
      <c r="N108" s="9">
        <v>2</v>
      </c>
      <c r="O108" s="9">
        <v>512</v>
      </c>
      <c r="P108" s="18">
        <f t="shared" si="3"/>
        <v>2.2981691574000003</v>
      </c>
      <c r="Q108" s="21">
        <f t="shared" si="4"/>
        <v>27.625</v>
      </c>
      <c r="R108" s="22">
        <f t="shared" si="5"/>
        <v>63.486922973175005</v>
      </c>
    </row>
    <row r="109" spans="1:18" x14ac:dyDescent="0.25">
      <c r="A109" t="s">
        <v>112</v>
      </c>
      <c r="B109">
        <v>1.4534739999999999</v>
      </c>
      <c r="C109">
        <v>2.2169999999999998E-3</v>
      </c>
      <c r="D109">
        <v>6.1155000000000001E-2</v>
      </c>
      <c r="E109">
        <v>2.7237999999999998E-2</v>
      </c>
      <c r="F109" s="8" t="s">
        <v>188</v>
      </c>
      <c r="G109" s="9" t="s">
        <v>191</v>
      </c>
      <c r="H109" s="9">
        <v>64</v>
      </c>
      <c r="I109" s="9">
        <v>1</v>
      </c>
      <c r="J109" s="9">
        <v>128</v>
      </c>
      <c r="K109" s="9">
        <v>16</v>
      </c>
      <c r="L109" s="9">
        <v>1</v>
      </c>
      <c r="M109" s="9">
        <v>1</v>
      </c>
      <c r="N109" s="9">
        <v>2</v>
      </c>
      <c r="O109" s="9">
        <v>512</v>
      </c>
      <c r="P109" s="18">
        <f t="shared" si="3"/>
        <v>3.2598066536000001</v>
      </c>
      <c r="Q109" s="21">
        <f t="shared" si="4"/>
        <v>18.875</v>
      </c>
      <c r="R109" s="22">
        <f t="shared" si="5"/>
        <v>61.528850586700003</v>
      </c>
    </row>
    <row r="110" spans="1:18" x14ac:dyDescent="0.25">
      <c r="A110" t="s">
        <v>113</v>
      </c>
      <c r="B110">
        <v>1.122811</v>
      </c>
      <c r="C110">
        <v>2.2200000000000002E-3</v>
      </c>
      <c r="D110">
        <v>4.6680000000000003E-3</v>
      </c>
      <c r="E110">
        <v>0.25069599999999997</v>
      </c>
      <c r="F110" s="8" t="s">
        <v>188</v>
      </c>
      <c r="G110" s="9" t="s">
        <v>191</v>
      </c>
      <c r="H110" s="9">
        <v>64</v>
      </c>
      <c r="I110" s="9">
        <v>1</v>
      </c>
      <c r="J110" s="9">
        <v>128</v>
      </c>
      <c r="K110" s="9">
        <v>32</v>
      </c>
      <c r="L110" s="9">
        <v>1</v>
      </c>
      <c r="M110" s="9">
        <v>1</v>
      </c>
      <c r="N110" s="9">
        <v>2</v>
      </c>
      <c r="O110" s="9">
        <v>512</v>
      </c>
      <c r="P110" s="18">
        <f t="shared" si="3"/>
        <v>2.3643704047999998</v>
      </c>
      <c r="Q110" s="21">
        <f t="shared" si="4"/>
        <v>20.125</v>
      </c>
      <c r="R110" s="22">
        <f t="shared" si="5"/>
        <v>47.582954396599995</v>
      </c>
    </row>
    <row r="111" spans="1:18" x14ac:dyDescent="0.25">
      <c r="A111" t="s">
        <v>114</v>
      </c>
      <c r="B111">
        <v>1.097653</v>
      </c>
      <c r="C111">
        <v>2.2200000000000002E-3</v>
      </c>
      <c r="D111">
        <v>3.4999999999999997E-5</v>
      </c>
      <c r="E111">
        <v>0.78995199999999999</v>
      </c>
      <c r="F111" s="8" t="s">
        <v>188</v>
      </c>
      <c r="G111" s="9" t="s">
        <v>191</v>
      </c>
      <c r="H111" s="9">
        <v>64</v>
      </c>
      <c r="I111" s="9">
        <v>1</v>
      </c>
      <c r="J111" s="9">
        <v>128</v>
      </c>
      <c r="K111" s="9">
        <v>64</v>
      </c>
      <c r="L111" s="9">
        <v>1</v>
      </c>
      <c r="M111" s="9">
        <v>1</v>
      </c>
      <c r="N111" s="9">
        <v>2</v>
      </c>
      <c r="O111" s="9">
        <v>512</v>
      </c>
      <c r="P111" s="18">
        <f t="shared" si="3"/>
        <v>2.298337176</v>
      </c>
      <c r="Q111" s="21">
        <f t="shared" si="4"/>
        <v>22.625</v>
      </c>
      <c r="R111" s="22">
        <f t="shared" si="5"/>
        <v>51.999878606999999</v>
      </c>
    </row>
    <row r="112" spans="1:18" x14ac:dyDescent="0.25">
      <c r="A112" t="s">
        <v>115</v>
      </c>
      <c r="B112">
        <v>1.118355</v>
      </c>
      <c r="C112">
        <v>7.8790000000000006E-3</v>
      </c>
      <c r="D112">
        <v>2.9E-5</v>
      </c>
      <c r="E112">
        <v>0.230268</v>
      </c>
      <c r="F112" s="8" t="s">
        <v>188</v>
      </c>
      <c r="G112" s="9" t="s">
        <v>191</v>
      </c>
      <c r="H112" s="9">
        <v>64</v>
      </c>
      <c r="I112" s="9">
        <v>1</v>
      </c>
      <c r="J112" s="9">
        <v>16</v>
      </c>
      <c r="K112" s="9">
        <v>128</v>
      </c>
      <c r="L112" s="9">
        <v>1</v>
      </c>
      <c r="M112" s="9">
        <v>1</v>
      </c>
      <c r="N112" s="9">
        <v>2</v>
      </c>
      <c r="O112" s="9">
        <v>512</v>
      </c>
      <c r="P112" s="18">
        <f t="shared" si="3"/>
        <v>2.3795309344</v>
      </c>
      <c r="Q112" s="21">
        <f t="shared" si="4"/>
        <v>18.875</v>
      </c>
      <c r="R112" s="22">
        <f t="shared" si="5"/>
        <v>44.913646386799996</v>
      </c>
    </row>
    <row r="113" spans="1:18" x14ac:dyDescent="0.25">
      <c r="A113" t="s">
        <v>116</v>
      </c>
      <c r="B113">
        <v>1.4724429999999999</v>
      </c>
      <c r="C113">
        <v>6.6990000000000001E-3</v>
      </c>
      <c r="D113">
        <v>6.1148000000000001E-2</v>
      </c>
      <c r="E113">
        <v>2.4827999999999999E-2</v>
      </c>
      <c r="F113" s="8" t="s">
        <v>188</v>
      </c>
      <c r="G113" s="9" t="s">
        <v>191</v>
      </c>
      <c r="H113" s="9">
        <v>64</v>
      </c>
      <c r="I113" s="9">
        <v>1</v>
      </c>
      <c r="J113" s="9">
        <v>16</v>
      </c>
      <c r="K113" s="9">
        <v>16</v>
      </c>
      <c r="L113" s="9">
        <v>1</v>
      </c>
      <c r="M113" s="9">
        <v>1</v>
      </c>
      <c r="N113" s="9">
        <v>2</v>
      </c>
      <c r="O113" s="9">
        <v>512</v>
      </c>
      <c r="P113" s="18">
        <f t="shared" si="3"/>
        <v>3.3193635316000001</v>
      </c>
      <c r="Q113" s="21">
        <f t="shared" si="4"/>
        <v>10.125</v>
      </c>
      <c r="R113" s="22">
        <f t="shared" si="5"/>
        <v>33.608555757449999</v>
      </c>
    </row>
    <row r="114" spans="1:18" x14ac:dyDescent="0.25">
      <c r="A114" t="s">
        <v>117</v>
      </c>
      <c r="B114">
        <v>1.144496</v>
      </c>
      <c r="C114">
        <v>7.8790000000000006E-3</v>
      </c>
      <c r="D114">
        <v>4.6680000000000003E-3</v>
      </c>
      <c r="E114">
        <v>0.14080999999999999</v>
      </c>
      <c r="F114" s="8" t="s">
        <v>188</v>
      </c>
      <c r="G114" s="9" t="s">
        <v>191</v>
      </c>
      <c r="H114" s="9">
        <v>64</v>
      </c>
      <c r="I114" s="9">
        <v>1</v>
      </c>
      <c r="J114" s="9">
        <v>16</v>
      </c>
      <c r="K114" s="9">
        <v>32</v>
      </c>
      <c r="L114" s="9">
        <v>1</v>
      </c>
      <c r="M114" s="9">
        <v>1</v>
      </c>
      <c r="N114" s="9">
        <v>2</v>
      </c>
      <c r="O114" s="9">
        <v>512</v>
      </c>
      <c r="P114" s="18">
        <f t="shared" si="3"/>
        <v>2.446640307</v>
      </c>
      <c r="Q114" s="21">
        <f t="shared" si="4"/>
        <v>11.375</v>
      </c>
      <c r="R114" s="22">
        <f t="shared" si="5"/>
        <v>27.830533492124999</v>
      </c>
    </row>
    <row r="115" spans="1:18" x14ac:dyDescent="0.25">
      <c r="A115" t="s">
        <v>118</v>
      </c>
      <c r="B115">
        <v>1.118433</v>
      </c>
      <c r="C115">
        <v>7.8790000000000006E-3</v>
      </c>
      <c r="D115">
        <v>3.4E-5</v>
      </c>
      <c r="E115">
        <v>0.230099</v>
      </c>
      <c r="F115" s="8" t="s">
        <v>188</v>
      </c>
      <c r="G115" s="9" t="s">
        <v>191</v>
      </c>
      <c r="H115" s="9">
        <v>64</v>
      </c>
      <c r="I115" s="9">
        <v>1</v>
      </c>
      <c r="J115" s="9">
        <v>16</v>
      </c>
      <c r="K115" s="9">
        <v>64</v>
      </c>
      <c r="L115" s="9">
        <v>1</v>
      </c>
      <c r="M115" s="9">
        <v>1</v>
      </c>
      <c r="N115" s="9">
        <v>2</v>
      </c>
      <c r="O115" s="9">
        <v>512</v>
      </c>
      <c r="P115" s="18">
        <f t="shared" si="3"/>
        <v>2.3796403386999998</v>
      </c>
      <c r="Q115" s="21">
        <f t="shared" si="4"/>
        <v>13.875</v>
      </c>
      <c r="R115" s="22">
        <f t="shared" si="5"/>
        <v>33.017509699462494</v>
      </c>
    </row>
    <row r="116" spans="1:18" x14ac:dyDescent="0.25">
      <c r="A116" t="s">
        <v>119</v>
      </c>
      <c r="B116">
        <v>1.1023210000000001</v>
      </c>
      <c r="C116">
        <v>3.2320000000000001E-3</v>
      </c>
      <c r="D116">
        <v>2.9E-5</v>
      </c>
      <c r="E116">
        <v>0.54210800000000003</v>
      </c>
      <c r="F116" s="8" t="s">
        <v>188</v>
      </c>
      <c r="G116" s="9" t="s">
        <v>191</v>
      </c>
      <c r="H116" s="9">
        <v>64</v>
      </c>
      <c r="I116" s="9">
        <v>1</v>
      </c>
      <c r="J116" s="9">
        <v>32</v>
      </c>
      <c r="K116" s="9">
        <v>128</v>
      </c>
      <c r="L116" s="9">
        <v>1</v>
      </c>
      <c r="M116" s="9">
        <v>1</v>
      </c>
      <c r="N116" s="9">
        <v>2</v>
      </c>
      <c r="O116" s="9">
        <v>512</v>
      </c>
      <c r="P116" s="18">
        <f t="shared" si="3"/>
        <v>2.3117124188</v>
      </c>
      <c r="Q116" s="21">
        <f t="shared" si="4"/>
        <v>20.125</v>
      </c>
      <c r="R116" s="22">
        <f t="shared" si="5"/>
        <v>46.52321242835</v>
      </c>
    </row>
    <row r="117" spans="1:18" x14ac:dyDescent="0.25">
      <c r="A117" t="s">
        <v>120</v>
      </c>
      <c r="B117">
        <v>1.4570860000000001</v>
      </c>
      <c r="C117">
        <v>3.2200000000000002E-3</v>
      </c>
      <c r="D117">
        <v>6.1151999999999998E-2</v>
      </c>
      <c r="E117">
        <v>2.6505000000000001E-2</v>
      </c>
      <c r="F117" s="8" t="s">
        <v>188</v>
      </c>
      <c r="G117" s="9" t="s">
        <v>191</v>
      </c>
      <c r="H117" s="9">
        <v>64</v>
      </c>
      <c r="I117" s="9">
        <v>1</v>
      </c>
      <c r="J117" s="9">
        <v>32</v>
      </c>
      <c r="K117" s="9">
        <v>16</v>
      </c>
      <c r="L117" s="9">
        <v>1</v>
      </c>
      <c r="M117" s="9">
        <v>1</v>
      </c>
      <c r="N117" s="9">
        <v>2</v>
      </c>
      <c r="O117" s="9">
        <v>512</v>
      </c>
      <c r="P117" s="18">
        <f t="shared" si="3"/>
        <v>3.2714239860000003</v>
      </c>
      <c r="Q117" s="21">
        <f t="shared" si="4"/>
        <v>11.375</v>
      </c>
      <c r="R117" s="22">
        <f t="shared" si="5"/>
        <v>37.212447840750002</v>
      </c>
    </row>
    <row r="118" spans="1:18" x14ac:dyDescent="0.25">
      <c r="A118" t="s">
        <v>121</v>
      </c>
      <c r="B118">
        <v>1.127802</v>
      </c>
      <c r="C118">
        <v>3.2309999999999999E-3</v>
      </c>
      <c r="D118">
        <v>4.6680000000000003E-3</v>
      </c>
      <c r="E118">
        <v>0.21732499999999999</v>
      </c>
      <c r="F118" s="8" t="s">
        <v>188</v>
      </c>
      <c r="G118" s="9" t="s">
        <v>191</v>
      </c>
      <c r="H118" s="9">
        <v>64</v>
      </c>
      <c r="I118" s="9">
        <v>1</v>
      </c>
      <c r="J118" s="9">
        <v>32</v>
      </c>
      <c r="K118" s="9">
        <v>32</v>
      </c>
      <c r="L118" s="9">
        <v>1</v>
      </c>
      <c r="M118" s="9">
        <v>1</v>
      </c>
      <c r="N118" s="9">
        <v>2</v>
      </c>
      <c r="O118" s="9">
        <v>512</v>
      </c>
      <c r="P118" s="18">
        <f t="shared" si="3"/>
        <v>2.3784570174999997</v>
      </c>
      <c r="Q118" s="21">
        <f t="shared" si="4"/>
        <v>12.625</v>
      </c>
      <c r="R118" s="22">
        <f t="shared" si="5"/>
        <v>30.028019845937497</v>
      </c>
    </row>
    <row r="119" spans="1:18" x14ac:dyDescent="0.25">
      <c r="A119" t="s">
        <v>122</v>
      </c>
      <c r="B119">
        <v>1.1022460000000001</v>
      </c>
      <c r="C119">
        <v>3.2320000000000001E-3</v>
      </c>
      <c r="D119">
        <v>3.4E-5</v>
      </c>
      <c r="E119">
        <v>0.54118900000000003</v>
      </c>
      <c r="F119" s="8" t="s">
        <v>188</v>
      </c>
      <c r="G119" s="9" t="s">
        <v>191</v>
      </c>
      <c r="H119" s="9">
        <v>64</v>
      </c>
      <c r="I119" s="9">
        <v>1</v>
      </c>
      <c r="J119" s="9">
        <v>32</v>
      </c>
      <c r="K119" s="9">
        <v>64</v>
      </c>
      <c r="L119" s="9">
        <v>1</v>
      </c>
      <c r="M119" s="9">
        <v>1</v>
      </c>
      <c r="N119" s="9">
        <v>2</v>
      </c>
      <c r="O119" s="9">
        <v>512</v>
      </c>
      <c r="P119" s="18">
        <f t="shared" si="3"/>
        <v>2.3116583274</v>
      </c>
      <c r="Q119" s="21">
        <f t="shared" si="4"/>
        <v>15.125</v>
      </c>
      <c r="R119" s="22">
        <f t="shared" si="5"/>
        <v>34.963832201925001</v>
      </c>
    </row>
    <row r="120" spans="1:18" x14ac:dyDescent="0.25">
      <c r="A120" t="s">
        <v>123</v>
      </c>
      <c r="B120">
        <v>1.0994740000000001</v>
      </c>
      <c r="C120">
        <v>2.5609999999999999E-3</v>
      </c>
      <c r="D120">
        <v>2.9E-5</v>
      </c>
      <c r="E120">
        <v>0.68281400000000003</v>
      </c>
      <c r="F120" s="8" t="s">
        <v>188</v>
      </c>
      <c r="G120" s="9" t="s">
        <v>191</v>
      </c>
      <c r="H120" s="9">
        <v>64</v>
      </c>
      <c r="I120" s="9">
        <v>1</v>
      </c>
      <c r="J120" s="9">
        <v>64</v>
      </c>
      <c r="K120" s="9">
        <v>128</v>
      </c>
      <c r="L120" s="9">
        <v>1</v>
      </c>
      <c r="M120" s="9">
        <v>1</v>
      </c>
      <c r="N120" s="9">
        <v>2</v>
      </c>
      <c r="O120" s="9">
        <v>512</v>
      </c>
      <c r="P120" s="18">
        <f t="shared" si="3"/>
        <v>2.3022228260000004</v>
      </c>
      <c r="Q120" s="21">
        <f t="shared" si="4"/>
        <v>22.625</v>
      </c>
      <c r="R120" s="22">
        <f t="shared" si="5"/>
        <v>52.087791438250008</v>
      </c>
    </row>
    <row r="121" spans="1:18" x14ac:dyDescent="0.25">
      <c r="A121" t="s">
        <v>124</v>
      </c>
      <c r="B121">
        <v>1.4545809999999999</v>
      </c>
      <c r="C121">
        <v>2.5539999999999998E-3</v>
      </c>
      <c r="D121">
        <v>6.1154E-2</v>
      </c>
      <c r="E121">
        <v>2.6834E-2</v>
      </c>
      <c r="F121" s="8" t="s">
        <v>188</v>
      </c>
      <c r="G121" s="9" t="s">
        <v>191</v>
      </c>
      <c r="H121" s="9">
        <v>64</v>
      </c>
      <c r="I121" s="9">
        <v>1</v>
      </c>
      <c r="J121" s="9">
        <v>64</v>
      </c>
      <c r="K121" s="9">
        <v>16</v>
      </c>
      <c r="L121" s="9">
        <v>1</v>
      </c>
      <c r="M121" s="9">
        <v>1</v>
      </c>
      <c r="N121" s="9">
        <v>2</v>
      </c>
      <c r="O121" s="9">
        <v>512</v>
      </c>
      <c r="P121" s="18">
        <f t="shared" si="3"/>
        <v>3.2626150471999997</v>
      </c>
      <c r="Q121" s="21">
        <f t="shared" si="4"/>
        <v>13.875</v>
      </c>
      <c r="R121" s="22">
        <f t="shared" si="5"/>
        <v>45.268783779899998</v>
      </c>
    </row>
    <row r="122" spans="1:18" x14ac:dyDescent="0.25">
      <c r="A122" t="s">
        <v>125</v>
      </c>
      <c r="B122">
        <v>1.1242639999999999</v>
      </c>
      <c r="C122">
        <v>2.5609999999999999E-3</v>
      </c>
      <c r="D122">
        <v>4.6680000000000003E-3</v>
      </c>
      <c r="E122">
        <v>0.23718400000000001</v>
      </c>
      <c r="F122" s="8" t="s">
        <v>188</v>
      </c>
      <c r="G122" s="9" t="s">
        <v>191</v>
      </c>
      <c r="H122" s="9">
        <v>64</v>
      </c>
      <c r="I122" s="9">
        <v>1</v>
      </c>
      <c r="J122" s="9">
        <v>64</v>
      </c>
      <c r="K122" s="9">
        <v>32</v>
      </c>
      <c r="L122" s="9">
        <v>1</v>
      </c>
      <c r="M122" s="9">
        <v>1</v>
      </c>
      <c r="N122" s="9">
        <v>2</v>
      </c>
      <c r="O122" s="9">
        <v>512</v>
      </c>
      <c r="P122" s="18">
        <f t="shared" si="3"/>
        <v>2.3680143135999998</v>
      </c>
      <c r="Q122" s="21">
        <f t="shared" si="4"/>
        <v>15.125</v>
      </c>
      <c r="R122" s="22">
        <f t="shared" si="5"/>
        <v>35.816216493199995</v>
      </c>
    </row>
    <row r="123" spans="1:18" x14ac:dyDescent="0.25">
      <c r="A123" t="s">
        <v>126</v>
      </c>
      <c r="B123">
        <v>1.099343</v>
      </c>
      <c r="C123">
        <v>2.5600000000000002E-3</v>
      </c>
      <c r="D123">
        <v>3.4E-5</v>
      </c>
      <c r="E123">
        <v>0.681334</v>
      </c>
      <c r="F123" s="8" t="s">
        <v>188</v>
      </c>
      <c r="G123" s="9" t="s">
        <v>191</v>
      </c>
      <c r="H123" s="9">
        <v>64</v>
      </c>
      <c r="I123" s="9">
        <v>1</v>
      </c>
      <c r="J123" s="9">
        <v>64</v>
      </c>
      <c r="K123" s="9">
        <v>64</v>
      </c>
      <c r="L123" s="9">
        <v>1</v>
      </c>
      <c r="M123" s="9">
        <v>1</v>
      </c>
      <c r="N123" s="9">
        <v>2</v>
      </c>
      <c r="O123" s="9">
        <v>512</v>
      </c>
      <c r="P123" s="18">
        <f t="shared" si="3"/>
        <v>2.3020210396</v>
      </c>
      <c r="Q123" s="21">
        <f t="shared" si="4"/>
        <v>17.625</v>
      </c>
      <c r="R123" s="22">
        <f t="shared" si="5"/>
        <v>40.573120822950003</v>
      </c>
    </row>
    <row r="124" spans="1:18" x14ac:dyDescent="0.25">
      <c r="A124" t="s">
        <v>127</v>
      </c>
      <c r="B124">
        <v>1.1022460000000001</v>
      </c>
      <c r="C124">
        <v>3.2320000000000001E-3</v>
      </c>
      <c r="D124">
        <v>3.4E-5</v>
      </c>
      <c r="E124">
        <v>0.54118900000000003</v>
      </c>
      <c r="F124" s="8" t="s">
        <v>188</v>
      </c>
      <c r="G124" s="9" t="s">
        <v>192</v>
      </c>
      <c r="H124" s="9">
        <v>64</v>
      </c>
      <c r="I124" s="9">
        <v>1</v>
      </c>
      <c r="J124" s="9">
        <v>32</v>
      </c>
      <c r="K124" s="9">
        <v>32</v>
      </c>
      <c r="L124" s="9">
        <v>1</v>
      </c>
      <c r="M124" s="9">
        <v>1</v>
      </c>
      <c r="N124" s="9">
        <v>2</v>
      </c>
      <c r="O124" s="9">
        <v>512</v>
      </c>
      <c r="P124" s="18">
        <f t="shared" si="3"/>
        <v>2.3116583274</v>
      </c>
      <c r="Q124" s="21">
        <f t="shared" si="4"/>
        <v>12.625</v>
      </c>
      <c r="R124" s="22">
        <f t="shared" si="5"/>
        <v>29.184686383424999</v>
      </c>
    </row>
    <row r="125" spans="1:18" x14ac:dyDescent="0.25">
      <c r="A125" t="s">
        <v>128</v>
      </c>
      <c r="B125">
        <v>1.098104</v>
      </c>
      <c r="C125">
        <v>2.3900000000000002E-3</v>
      </c>
      <c r="D125">
        <v>3.4E-5</v>
      </c>
      <c r="E125">
        <v>0.73771900000000001</v>
      </c>
      <c r="F125" s="8" t="s">
        <v>188</v>
      </c>
      <c r="G125" s="9" t="s">
        <v>192</v>
      </c>
      <c r="H125" s="9">
        <v>64</v>
      </c>
      <c r="I125" s="9">
        <v>1</v>
      </c>
      <c r="J125" s="9">
        <v>32</v>
      </c>
      <c r="K125" s="9">
        <v>32</v>
      </c>
      <c r="L125" s="9">
        <v>2</v>
      </c>
      <c r="M125" s="9">
        <v>1</v>
      </c>
      <c r="N125" s="9">
        <v>2</v>
      </c>
      <c r="O125" s="9">
        <v>512</v>
      </c>
      <c r="P125" s="18">
        <f t="shared" si="3"/>
        <v>2.3011670855999999</v>
      </c>
      <c r="Q125" s="21">
        <f t="shared" si="4"/>
        <v>15.125</v>
      </c>
      <c r="R125" s="22">
        <f t="shared" si="5"/>
        <v>34.805152169700001</v>
      </c>
    </row>
    <row r="126" spans="1:18" x14ac:dyDescent="0.25">
      <c r="A126" t="s">
        <v>129</v>
      </c>
      <c r="B126">
        <v>1.0975969999999999</v>
      </c>
      <c r="C126">
        <v>2.2780000000000001E-3</v>
      </c>
      <c r="D126">
        <v>3.4E-5</v>
      </c>
      <c r="E126">
        <v>0.77809499999999998</v>
      </c>
      <c r="F126" s="8" t="s">
        <v>188</v>
      </c>
      <c r="G126" s="9" t="s">
        <v>192</v>
      </c>
      <c r="H126" s="9">
        <v>64</v>
      </c>
      <c r="I126" s="9">
        <v>1</v>
      </c>
      <c r="J126" s="9">
        <v>32</v>
      </c>
      <c r="K126" s="9">
        <v>32</v>
      </c>
      <c r="L126" s="9">
        <v>4</v>
      </c>
      <c r="M126" s="9">
        <v>1</v>
      </c>
      <c r="N126" s="9">
        <v>2</v>
      </c>
      <c r="O126" s="9">
        <v>512</v>
      </c>
      <c r="P126" s="18">
        <f t="shared" si="3"/>
        <v>2.3006125639999997</v>
      </c>
      <c r="Q126" s="21">
        <f t="shared" si="4"/>
        <v>20.125</v>
      </c>
      <c r="R126" s="22">
        <f t="shared" si="5"/>
        <v>46.299827850499994</v>
      </c>
    </row>
    <row r="127" spans="1:18" x14ac:dyDescent="0.25">
      <c r="A127" t="s">
        <v>130</v>
      </c>
      <c r="B127">
        <v>1.1022460000000001</v>
      </c>
      <c r="C127">
        <v>3.2320000000000001E-3</v>
      </c>
      <c r="D127">
        <v>3.4E-5</v>
      </c>
      <c r="E127">
        <v>0.54118900000000003</v>
      </c>
      <c r="F127" s="8" t="s">
        <v>188</v>
      </c>
      <c r="G127" s="9" t="s">
        <v>193</v>
      </c>
      <c r="H127" s="9">
        <v>64</v>
      </c>
      <c r="I127" s="9">
        <v>1</v>
      </c>
      <c r="J127" s="9">
        <v>32</v>
      </c>
      <c r="K127" s="9">
        <v>32</v>
      </c>
      <c r="L127" s="9">
        <v>1</v>
      </c>
      <c r="M127" s="9">
        <v>1</v>
      </c>
      <c r="N127" s="9">
        <v>2</v>
      </c>
      <c r="O127" s="9">
        <v>512</v>
      </c>
      <c r="P127" s="18">
        <f t="shared" si="3"/>
        <v>2.3116583274</v>
      </c>
      <c r="Q127" s="21">
        <f t="shared" si="4"/>
        <v>12.625</v>
      </c>
      <c r="R127" s="22">
        <f t="shared" si="5"/>
        <v>29.184686383424999</v>
      </c>
    </row>
    <row r="128" spans="1:18" x14ac:dyDescent="0.25">
      <c r="A128" t="s">
        <v>131</v>
      </c>
      <c r="B128">
        <v>1.1023210000000001</v>
      </c>
      <c r="C128">
        <v>3.2320000000000001E-3</v>
      </c>
      <c r="D128">
        <v>1.9000000000000001E-5</v>
      </c>
      <c r="E128">
        <v>0.54366899999999996</v>
      </c>
      <c r="F128" s="8" t="s">
        <v>188</v>
      </c>
      <c r="G128" s="9" t="s">
        <v>193</v>
      </c>
      <c r="H128" s="9">
        <v>64</v>
      </c>
      <c r="I128" s="9">
        <v>1</v>
      </c>
      <c r="J128" s="9">
        <v>32</v>
      </c>
      <c r="K128" s="9">
        <v>32</v>
      </c>
      <c r="L128" s="9">
        <v>1</v>
      </c>
      <c r="M128" s="9">
        <v>2</v>
      </c>
      <c r="N128" s="9">
        <v>2</v>
      </c>
      <c r="O128" s="9">
        <v>512</v>
      </c>
      <c r="P128" s="18">
        <f t="shared" si="3"/>
        <v>2.3115777919</v>
      </c>
      <c r="Q128" s="21">
        <f t="shared" si="4"/>
        <v>12.625</v>
      </c>
      <c r="R128" s="22">
        <f t="shared" si="5"/>
        <v>29.183669622737501</v>
      </c>
    </row>
    <row r="129" spans="1:18" x14ac:dyDescent="0.25">
      <c r="A129" t="s">
        <v>132</v>
      </c>
      <c r="B129">
        <v>1.1022430000000001</v>
      </c>
      <c r="C129">
        <v>3.2320000000000001E-3</v>
      </c>
      <c r="D129">
        <v>1.9000000000000001E-5</v>
      </c>
      <c r="E129">
        <v>0.54369500000000004</v>
      </c>
      <c r="F129" s="8" t="s">
        <v>188</v>
      </c>
      <c r="G129" s="9" t="s">
        <v>193</v>
      </c>
      <c r="H129" s="9">
        <v>64</v>
      </c>
      <c r="I129" s="9">
        <v>1</v>
      </c>
      <c r="J129" s="9">
        <v>32</v>
      </c>
      <c r="K129" s="9">
        <v>32</v>
      </c>
      <c r="L129" s="9">
        <v>1</v>
      </c>
      <c r="M129" s="9">
        <v>4</v>
      </c>
      <c r="N129" s="9">
        <v>2</v>
      </c>
      <c r="O129" s="9">
        <v>512</v>
      </c>
      <c r="P129" s="18">
        <f t="shared" si="3"/>
        <v>2.3115082445000001</v>
      </c>
      <c r="Q129" s="21">
        <f t="shared" si="4"/>
        <v>12.625</v>
      </c>
      <c r="R129" s="22">
        <f t="shared" si="5"/>
        <v>29.182791586812503</v>
      </c>
    </row>
    <row r="130" spans="1:18" x14ac:dyDescent="0.25">
      <c r="A130" t="s">
        <v>133</v>
      </c>
      <c r="B130">
        <v>1.1036170000000001</v>
      </c>
      <c r="C130">
        <v>3.2320000000000001E-3</v>
      </c>
      <c r="D130">
        <v>3.4E-5</v>
      </c>
      <c r="E130">
        <v>0.56542700000000001</v>
      </c>
      <c r="F130" s="8" t="s">
        <v>188</v>
      </c>
      <c r="G130" s="9" t="s">
        <v>194</v>
      </c>
      <c r="H130" s="9">
        <v>64</v>
      </c>
      <c r="I130" s="9">
        <v>1</v>
      </c>
      <c r="J130" s="9">
        <v>32</v>
      </c>
      <c r="K130" s="9">
        <v>32</v>
      </c>
      <c r="L130" s="9">
        <v>1</v>
      </c>
      <c r="M130" s="9">
        <v>1</v>
      </c>
      <c r="N130" s="9">
        <v>1</v>
      </c>
      <c r="O130" s="9">
        <v>512</v>
      </c>
      <c r="P130" s="18">
        <f t="shared" si="3"/>
        <v>2.3209454581999998</v>
      </c>
      <c r="Q130" s="21">
        <f t="shared" si="4"/>
        <v>12.625</v>
      </c>
      <c r="R130" s="22">
        <f t="shared" si="5"/>
        <v>29.301936409774996</v>
      </c>
    </row>
    <row r="131" spans="1:18" x14ac:dyDescent="0.25">
      <c r="A131" t="s">
        <v>134</v>
      </c>
      <c r="B131">
        <v>1.1022460000000001</v>
      </c>
      <c r="C131">
        <v>3.2320000000000001E-3</v>
      </c>
      <c r="D131">
        <v>3.4E-5</v>
      </c>
      <c r="E131">
        <v>0.54118900000000003</v>
      </c>
      <c r="F131" s="8" t="s">
        <v>188</v>
      </c>
      <c r="G131" s="9" t="s">
        <v>194</v>
      </c>
      <c r="H131" s="9">
        <v>64</v>
      </c>
      <c r="I131" s="9">
        <v>1</v>
      </c>
      <c r="J131" s="9">
        <v>32</v>
      </c>
      <c r="K131" s="9">
        <v>32</v>
      </c>
      <c r="L131" s="9">
        <v>1</v>
      </c>
      <c r="M131" s="9">
        <v>1</v>
      </c>
      <c r="N131" s="9">
        <v>2</v>
      </c>
      <c r="O131" s="9">
        <v>512</v>
      </c>
      <c r="P131" s="18">
        <f t="shared" ref="P131:P171" si="6">1+(C131+D131)*(10+E131*100)+B131</f>
        <v>2.3116583274</v>
      </c>
      <c r="Q131" s="21">
        <f t="shared" ref="Q131:Q171" si="7">(J131+K131)/128*10+L131/4*10+O131/4096*1+H131/128*10</f>
        <v>12.625</v>
      </c>
      <c r="R131" s="22">
        <f t="shared" ref="R131:R171" si="8">Q131*P131</f>
        <v>29.184686383424999</v>
      </c>
    </row>
    <row r="132" spans="1:18" x14ac:dyDescent="0.25">
      <c r="A132" t="s">
        <v>135</v>
      </c>
      <c r="B132">
        <v>1.1020840000000001</v>
      </c>
      <c r="C132">
        <v>3.2320000000000001E-3</v>
      </c>
      <c r="D132">
        <v>3.4E-5</v>
      </c>
      <c r="E132">
        <v>0.53511500000000001</v>
      </c>
      <c r="F132" s="8" t="s">
        <v>188</v>
      </c>
      <c r="G132" s="9" t="s">
        <v>194</v>
      </c>
      <c r="H132" s="9">
        <v>64</v>
      </c>
      <c r="I132" s="9">
        <v>1</v>
      </c>
      <c r="J132" s="9">
        <v>32</v>
      </c>
      <c r="K132" s="9">
        <v>32</v>
      </c>
      <c r="L132" s="9">
        <v>1</v>
      </c>
      <c r="M132" s="9">
        <v>1</v>
      </c>
      <c r="N132" s="9">
        <v>4</v>
      </c>
      <c r="O132" s="9">
        <v>512</v>
      </c>
      <c r="P132" s="18">
        <f t="shared" si="6"/>
        <v>2.3095125589999999</v>
      </c>
      <c r="Q132" s="21">
        <f t="shared" si="7"/>
        <v>12.625</v>
      </c>
      <c r="R132" s="22">
        <f t="shared" si="8"/>
        <v>29.157596057374999</v>
      </c>
    </row>
    <row r="133" spans="1:18" x14ac:dyDescent="0.25">
      <c r="A133" t="s">
        <v>136</v>
      </c>
      <c r="B133">
        <v>1.0997710000000001</v>
      </c>
      <c r="C133">
        <v>3.2309999999999999E-3</v>
      </c>
      <c r="D133">
        <v>3.4E-5</v>
      </c>
      <c r="E133">
        <v>0.49755899999999997</v>
      </c>
      <c r="F133" s="8" t="s">
        <v>188</v>
      </c>
      <c r="G133" s="9" t="s">
        <v>184</v>
      </c>
      <c r="H133" s="9">
        <v>64</v>
      </c>
      <c r="I133" s="9">
        <v>1</v>
      </c>
      <c r="J133" s="9">
        <v>32</v>
      </c>
      <c r="K133" s="9">
        <v>32</v>
      </c>
      <c r="L133" s="9">
        <v>1</v>
      </c>
      <c r="M133" s="9">
        <v>1</v>
      </c>
      <c r="N133" s="9">
        <v>2</v>
      </c>
      <c r="O133" s="9">
        <v>1024</v>
      </c>
      <c r="P133" s="18">
        <f t="shared" si="6"/>
        <v>2.2948740135000003</v>
      </c>
      <c r="Q133" s="21">
        <f t="shared" si="7"/>
        <v>12.75</v>
      </c>
      <c r="R133" s="22">
        <f t="shared" si="8"/>
        <v>29.259643672125005</v>
      </c>
    </row>
    <row r="134" spans="1:18" x14ac:dyDescent="0.25">
      <c r="A134" t="s">
        <v>137</v>
      </c>
      <c r="B134">
        <v>1.104293</v>
      </c>
      <c r="C134">
        <v>3.2320000000000001E-3</v>
      </c>
      <c r="D134">
        <v>3.4E-5</v>
      </c>
      <c r="E134">
        <v>0.57408000000000003</v>
      </c>
      <c r="F134" s="8" t="s">
        <v>188</v>
      </c>
      <c r="G134" s="9" t="s">
        <v>184</v>
      </c>
      <c r="H134" s="9">
        <v>64</v>
      </c>
      <c r="I134" s="9">
        <v>1</v>
      </c>
      <c r="J134" s="9">
        <v>32</v>
      </c>
      <c r="K134" s="9">
        <v>32</v>
      </c>
      <c r="L134" s="9">
        <v>1</v>
      </c>
      <c r="M134" s="9">
        <v>1</v>
      </c>
      <c r="N134" s="9">
        <v>2</v>
      </c>
      <c r="O134" s="9">
        <v>256</v>
      </c>
      <c r="P134" s="18">
        <f t="shared" si="6"/>
        <v>2.3244475280000003</v>
      </c>
      <c r="Q134" s="21">
        <f t="shared" si="7"/>
        <v>12.5625</v>
      </c>
      <c r="R134" s="22">
        <f t="shared" si="8"/>
        <v>29.200872070500004</v>
      </c>
    </row>
    <row r="135" spans="1:18" x14ac:dyDescent="0.25">
      <c r="A135" t="s">
        <v>138</v>
      </c>
      <c r="B135">
        <v>1.09768</v>
      </c>
      <c r="C135">
        <v>3.2309999999999999E-3</v>
      </c>
      <c r="D135">
        <v>3.4E-5</v>
      </c>
      <c r="E135">
        <v>0.46477600000000002</v>
      </c>
      <c r="F135" s="8" t="s">
        <v>188</v>
      </c>
      <c r="G135" s="9" t="s">
        <v>184</v>
      </c>
      <c r="H135" s="9">
        <v>64</v>
      </c>
      <c r="I135" s="9">
        <v>1</v>
      </c>
      <c r="J135" s="9">
        <v>32</v>
      </c>
      <c r="K135" s="9">
        <v>32</v>
      </c>
      <c r="L135" s="9">
        <v>1</v>
      </c>
      <c r="M135" s="9">
        <v>1</v>
      </c>
      <c r="N135" s="9">
        <v>2</v>
      </c>
      <c r="O135" s="9">
        <v>2048</v>
      </c>
      <c r="P135" s="18">
        <f t="shared" si="6"/>
        <v>2.2820793639999999</v>
      </c>
      <c r="Q135" s="21">
        <f t="shared" si="7"/>
        <v>13</v>
      </c>
      <c r="R135" s="22">
        <f t="shared" si="8"/>
        <v>29.667031731999998</v>
      </c>
    </row>
    <row r="136" spans="1:18" x14ac:dyDescent="0.25">
      <c r="A136" t="s">
        <v>139</v>
      </c>
      <c r="B136">
        <v>1.0975239999999999</v>
      </c>
      <c r="C136">
        <v>3.2309999999999999E-3</v>
      </c>
      <c r="D136">
        <v>3.4E-5</v>
      </c>
      <c r="E136">
        <v>0.46161200000000002</v>
      </c>
      <c r="F136" s="8" t="s">
        <v>188</v>
      </c>
      <c r="G136" s="9" t="s">
        <v>184</v>
      </c>
      <c r="H136" s="9">
        <v>64</v>
      </c>
      <c r="I136" s="9">
        <v>1</v>
      </c>
      <c r="J136" s="9">
        <v>32</v>
      </c>
      <c r="K136" s="9">
        <v>32</v>
      </c>
      <c r="L136" s="9">
        <v>1</v>
      </c>
      <c r="M136" s="9">
        <v>1</v>
      </c>
      <c r="N136" s="9">
        <v>2</v>
      </c>
      <c r="O136" s="9">
        <v>4096</v>
      </c>
      <c r="P136" s="18">
        <f t="shared" si="6"/>
        <v>2.280890318</v>
      </c>
      <c r="Q136" s="21">
        <f t="shared" si="7"/>
        <v>13.5</v>
      </c>
      <c r="R136" s="22">
        <f t="shared" si="8"/>
        <v>30.792019292999999</v>
      </c>
    </row>
    <row r="137" spans="1:18" ht="15.75" thickBot="1" x14ac:dyDescent="0.3">
      <c r="A137" t="s">
        <v>140</v>
      </c>
      <c r="B137">
        <v>1.1022460000000001</v>
      </c>
      <c r="C137">
        <v>3.2320000000000001E-3</v>
      </c>
      <c r="D137">
        <v>3.4E-5</v>
      </c>
      <c r="E137">
        <v>0.54118900000000003</v>
      </c>
      <c r="F137" s="10" t="s">
        <v>188</v>
      </c>
      <c r="G137" s="11" t="s">
        <v>184</v>
      </c>
      <c r="H137" s="11">
        <v>64</v>
      </c>
      <c r="I137" s="11">
        <v>1</v>
      </c>
      <c r="J137" s="11">
        <v>32</v>
      </c>
      <c r="K137" s="11">
        <v>32</v>
      </c>
      <c r="L137" s="11">
        <v>1</v>
      </c>
      <c r="M137" s="11">
        <v>1</v>
      </c>
      <c r="N137" s="11">
        <v>2</v>
      </c>
      <c r="O137" s="11">
        <v>512</v>
      </c>
      <c r="P137" s="19">
        <f t="shared" si="6"/>
        <v>2.3116583274</v>
      </c>
      <c r="Q137" s="21">
        <f t="shared" si="7"/>
        <v>12.625</v>
      </c>
      <c r="R137" s="24">
        <f t="shared" si="8"/>
        <v>29.184686383424999</v>
      </c>
    </row>
    <row r="138" spans="1:18" x14ac:dyDescent="0.25">
      <c r="A138" t="s">
        <v>141</v>
      </c>
      <c r="B138">
        <v>1.243045</v>
      </c>
      <c r="C138">
        <v>5.8240000000000002E-3</v>
      </c>
      <c r="D138">
        <v>1.18E-4</v>
      </c>
      <c r="E138">
        <v>1.3793E-2</v>
      </c>
      <c r="F138" s="6" t="s">
        <v>189</v>
      </c>
      <c r="G138" s="7" t="s">
        <v>190</v>
      </c>
      <c r="H138" s="7">
        <v>128</v>
      </c>
      <c r="I138" s="7">
        <v>1</v>
      </c>
      <c r="J138" s="7">
        <v>32</v>
      </c>
      <c r="K138" s="7">
        <v>32</v>
      </c>
      <c r="L138" s="7">
        <v>1</v>
      </c>
      <c r="M138" s="7">
        <v>1</v>
      </c>
      <c r="N138" s="7">
        <v>2</v>
      </c>
      <c r="O138" s="7">
        <v>512</v>
      </c>
      <c r="P138" s="20">
        <f t="shared" si="6"/>
        <v>2.3106608006</v>
      </c>
      <c r="Q138" s="21">
        <f t="shared" si="7"/>
        <v>17.625</v>
      </c>
      <c r="R138" s="25">
        <f t="shared" si="8"/>
        <v>40.725396610574997</v>
      </c>
    </row>
    <row r="139" spans="1:18" x14ac:dyDescent="0.25">
      <c r="A139" t="s">
        <v>142</v>
      </c>
      <c r="B139">
        <v>1.2253179999999999</v>
      </c>
      <c r="C139">
        <v>6.5799999999999999E-3</v>
      </c>
      <c r="D139">
        <v>1.76E-4</v>
      </c>
      <c r="E139">
        <v>3.9736E-2</v>
      </c>
      <c r="F139" s="8" t="s">
        <v>189</v>
      </c>
      <c r="G139" s="9" t="s">
        <v>190</v>
      </c>
      <c r="H139" s="9">
        <v>32</v>
      </c>
      <c r="I139" s="9">
        <v>1</v>
      </c>
      <c r="J139" s="9">
        <v>32</v>
      </c>
      <c r="K139" s="9">
        <v>32</v>
      </c>
      <c r="L139" s="9">
        <v>1</v>
      </c>
      <c r="M139" s="9">
        <v>1</v>
      </c>
      <c r="N139" s="9">
        <v>2</v>
      </c>
      <c r="O139" s="9">
        <v>512</v>
      </c>
      <c r="P139" s="18">
        <f t="shared" si="6"/>
        <v>2.3197236416</v>
      </c>
      <c r="Q139" s="21">
        <f t="shared" si="7"/>
        <v>10.125</v>
      </c>
      <c r="R139" s="22">
        <f t="shared" si="8"/>
        <v>23.4872018712</v>
      </c>
    </row>
    <row r="140" spans="1:18" x14ac:dyDescent="0.25">
      <c r="A140" t="s">
        <v>143</v>
      </c>
      <c r="B140">
        <v>1.2323850000000001</v>
      </c>
      <c r="C140">
        <v>5.777E-3</v>
      </c>
      <c r="D140">
        <v>1.36E-4</v>
      </c>
      <c r="E140">
        <v>2.4802999999999999E-2</v>
      </c>
      <c r="F140" s="8" t="s">
        <v>189</v>
      </c>
      <c r="G140" s="9" t="s">
        <v>190</v>
      </c>
      <c r="H140" s="9">
        <v>64</v>
      </c>
      <c r="I140" s="9">
        <v>1</v>
      </c>
      <c r="J140" s="9">
        <v>32</v>
      </c>
      <c r="K140" s="9">
        <v>32</v>
      </c>
      <c r="L140" s="9">
        <v>1</v>
      </c>
      <c r="M140" s="9">
        <v>1</v>
      </c>
      <c r="N140" s="9">
        <v>2</v>
      </c>
      <c r="O140" s="9">
        <v>512</v>
      </c>
      <c r="P140" s="18">
        <f t="shared" si="6"/>
        <v>2.3061810138999999</v>
      </c>
      <c r="Q140" s="21">
        <f t="shared" si="7"/>
        <v>12.625</v>
      </c>
      <c r="R140" s="22">
        <f t="shared" si="8"/>
        <v>29.115535300487497</v>
      </c>
    </row>
    <row r="141" spans="1:18" x14ac:dyDescent="0.25">
      <c r="A141" t="s">
        <v>144</v>
      </c>
      <c r="B141">
        <v>1.2323850000000001</v>
      </c>
      <c r="C141">
        <v>5.777E-3</v>
      </c>
      <c r="D141">
        <v>1.36E-4</v>
      </c>
      <c r="E141">
        <v>2.4802999999999999E-2</v>
      </c>
      <c r="F141" s="8" t="s">
        <v>189</v>
      </c>
      <c r="G141" s="9" t="s">
        <v>195</v>
      </c>
      <c r="H141" s="9">
        <v>64</v>
      </c>
      <c r="I141" s="9">
        <v>1</v>
      </c>
      <c r="J141" s="9">
        <v>32</v>
      </c>
      <c r="K141" s="9">
        <v>32</v>
      </c>
      <c r="L141" s="9">
        <v>1</v>
      </c>
      <c r="M141" s="9">
        <v>1</v>
      </c>
      <c r="N141" s="9">
        <v>2</v>
      </c>
      <c r="O141" s="9">
        <v>512</v>
      </c>
      <c r="P141" s="18">
        <f t="shared" si="6"/>
        <v>2.3061810138999999</v>
      </c>
      <c r="Q141" s="21">
        <f t="shared" si="7"/>
        <v>12.625</v>
      </c>
      <c r="R141" s="22">
        <f t="shared" si="8"/>
        <v>29.115535300487497</v>
      </c>
    </row>
    <row r="142" spans="1:18" x14ac:dyDescent="0.25">
      <c r="A142" t="s">
        <v>145</v>
      </c>
      <c r="B142">
        <v>1.188863</v>
      </c>
      <c r="C142">
        <v>1.493E-3</v>
      </c>
      <c r="D142">
        <v>1.2300000000000001E-4</v>
      </c>
      <c r="E142">
        <v>9.3507000000000007E-2</v>
      </c>
      <c r="F142" s="8" t="s">
        <v>189</v>
      </c>
      <c r="G142" s="9" t="s">
        <v>191</v>
      </c>
      <c r="H142" s="9">
        <v>64</v>
      </c>
      <c r="I142" s="9">
        <v>1</v>
      </c>
      <c r="J142" s="9">
        <v>128</v>
      </c>
      <c r="K142" s="9">
        <v>128</v>
      </c>
      <c r="L142" s="9">
        <v>1</v>
      </c>
      <c r="M142" s="9">
        <v>1</v>
      </c>
      <c r="N142" s="9">
        <v>2</v>
      </c>
      <c r="O142" s="9">
        <v>512</v>
      </c>
      <c r="P142" s="18">
        <f t="shared" si="6"/>
        <v>2.2201337311999998</v>
      </c>
      <c r="Q142" s="21">
        <f t="shared" si="7"/>
        <v>27.625</v>
      </c>
      <c r="R142" s="22">
        <f t="shared" si="8"/>
        <v>61.331194324399995</v>
      </c>
    </row>
    <row r="143" spans="1:18" x14ac:dyDescent="0.25">
      <c r="A143" t="s">
        <v>146</v>
      </c>
      <c r="B143">
        <v>1.1918550000000001</v>
      </c>
      <c r="C143">
        <v>1.493E-3</v>
      </c>
      <c r="D143">
        <v>1.1839999999999999E-3</v>
      </c>
      <c r="E143">
        <v>7.5246999999999994E-2</v>
      </c>
      <c r="F143" s="8" t="s">
        <v>189</v>
      </c>
      <c r="G143" s="9" t="s">
        <v>191</v>
      </c>
      <c r="H143" s="9">
        <v>64</v>
      </c>
      <c r="I143" s="9">
        <v>1</v>
      </c>
      <c r="J143" s="9">
        <v>128</v>
      </c>
      <c r="K143" s="9">
        <v>16</v>
      </c>
      <c r="L143" s="9">
        <v>1</v>
      </c>
      <c r="M143" s="9">
        <v>1</v>
      </c>
      <c r="N143" s="9">
        <v>2</v>
      </c>
      <c r="O143" s="9">
        <v>512</v>
      </c>
      <c r="P143" s="18">
        <f t="shared" si="6"/>
        <v>2.2387686219000003</v>
      </c>
      <c r="Q143" s="21">
        <f t="shared" si="7"/>
        <v>18.875</v>
      </c>
      <c r="R143" s="22">
        <f t="shared" si="8"/>
        <v>42.256757738362502</v>
      </c>
    </row>
    <row r="144" spans="1:18" x14ac:dyDescent="0.25">
      <c r="A144" t="s">
        <v>147</v>
      </c>
      <c r="B144">
        <v>1.190126</v>
      </c>
      <c r="C144">
        <v>1.493E-3</v>
      </c>
      <c r="D144">
        <v>6.2399999999999999E-4</v>
      </c>
      <c r="E144">
        <v>8.2375000000000004E-2</v>
      </c>
      <c r="F144" s="8" t="s">
        <v>189</v>
      </c>
      <c r="G144" s="9" t="s">
        <v>191</v>
      </c>
      <c r="H144" s="9">
        <v>64</v>
      </c>
      <c r="I144" s="9">
        <v>1</v>
      </c>
      <c r="J144" s="9">
        <v>128</v>
      </c>
      <c r="K144" s="9">
        <v>32</v>
      </c>
      <c r="L144" s="9">
        <v>1</v>
      </c>
      <c r="M144" s="9">
        <v>1</v>
      </c>
      <c r="N144" s="9">
        <v>2</v>
      </c>
      <c r="O144" s="9">
        <v>512</v>
      </c>
      <c r="P144" s="18">
        <f t="shared" si="6"/>
        <v>2.2287347875000001</v>
      </c>
      <c r="Q144" s="21">
        <f t="shared" si="7"/>
        <v>20.125</v>
      </c>
      <c r="R144" s="22">
        <f t="shared" si="8"/>
        <v>44.853287598437504</v>
      </c>
    </row>
    <row r="145" spans="1:18" x14ac:dyDescent="0.25">
      <c r="A145" t="s">
        <v>148</v>
      </c>
      <c r="B145">
        <v>1.188898</v>
      </c>
      <c r="C145">
        <v>1.493E-3</v>
      </c>
      <c r="D145">
        <v>1.35E-4</v>
      </c>
      <c r="E145">
        <v>9.3235999999999999E-2</v>
      </c>
      <c r="F145" s="8" t="s">
        <v>189</v>
      </c>
      <c r="G145" s="9" t="s">
        <v>191</v>
      </c>
      <c r="H145" s="9">
        <v>64</v>
      </c>
      <c r="I145" s="9">
        <v>1</v>
      </c>
      <c r="J145" s="9">
        <v>128</v>
      </c>
      <c r="K145" s="9">
        <v>64</v>
      </c>
      <c r="L145" s="9">
        <v>1</v>
      </c>
      <c r="M145" s="9">
        <v>1</v>
      </c>
      <c r="N145" s="9">
        <v>2</v>
      </c>
      <c r="O145" s="9">
        <v>512</v>
      </c>
      <c r="P145" s="18">
        <f t="shared" si="6"/>
        <v>2.2203568208000002</v>
      </c>
      <c r="Q145" s="21">
        <f t="shared" si="7"/>
        <v>22.625</v>
      </c>
      <c r="R145" s="22">
        <f t="shared" si="8"/>
        <v>50.235573070600005</v>
      </c>
    </row>
    <row r="146" spans="1:18" x14ac:dyDescent="0.25">
      <c r="A146" t="s">
        <v>149</v>
      </c>
      <c r="B146">
        <v>1.2590699999999999</v>
      </c>
      <c r="C146">
        <v>8.3320000000000009E-3</v>
      </c>
      <c r="D146">
        <v>1.2300000000000001E-4</v>
      </c>
      <c r="E146">
        <v>1.7301E-2</v>
      </c>
      <c r="F146" s="8" t="s">
        <v>189</v>
      </c>
      <c r="G146" s="9" t="s">
        <v>191</v>
      </c>
      <c r="H146" s="9">
        <v>64</v>
      </c>
      <c r="I146" s="9">
        <v>1</v>
      </c>
      <c r="J146" s="9">
        <v>16</v>
      </c>
      <c r="K146" s="9">
        <v>128</v>
      </c>
      <c r="L146" s="9">
        <v>1</v>
      </c>
      <c r="M146" s="9">
        <v>1</v>
      </c>
      <c r="N146" s="9">
        <v>2</v>
      </c>
      <c r="O146" s="9">
        <v>512</v>
      </c>
      <c r="P146" s="18">
        <f t="shared" si="6"/>
        <v>2.3582479955000002</v>
      </c>
      <c r="Q146" s="21">
        <f t="shared" si="7"/>
        <v>18.875</v>
      </c>
      <c r="R146" s="22">
        <f t="shared" si="8"/>
        <v>44.511930915062507</v>
      </c>
    </row>
    <row r="147" spans="1:18" x14ac:dyDescent="0.25">
      <c r="A147" t="s">
        <v>150</v>
      </c>
      <c r="B147">
        <v>1.2614399999999999</v>
      </c>
      <c r="C147">
        <v>8.3309999999999999E-3</v>
      </c>
      <c r="D147">
        <v>1.1980000000000001E-3</v>
      </c>
      <c r="E147">
        <v>1.7738E-2</v>
      </c>
      <c r="F147" s="8" t="s">
        <v>189</v>
      </c>
      <c r="G147" s="9" t="s">
        <v>191</v>
      </c>
      <c r="H147" s="9">
        <v>64</v>
      </c>
      <c r="I147" s="9">
        <v>1</v>
      </c>
      <c r="J147" s="9">
        <v>16</v>
      </c>
      <c r="K147" s="9">
        <v>16</v>
      </c>
      <c r="L147" s="9">
        <v>1</v>
      </c>
      <c r="M147" s="9">
        <v>1</v>
      </c>
      <c r="N147" s="9">
        <v>2</v>
      </c>
      <c r="O147" s="9">
        <v>512</v>
      </c>
      <c r="P147" s="18">
        <f t="shared" si="6"/>
        <v>2.3736325402</v>
      </c>
      <c r="Q147" s="21">
        <f t="shared" si="7"/>
        <v>10.125</v>
      </c>
      <c r="R147" s="22">
        <f t="shared" si="8"/>
        <v>24.033029469525001</v>
      </c>
    </row>
    <row r="148" spans="1:18" x14ac:dyDescent="0.25">
      <c r="A148" t="s">
        <v>151</v>
      </c>
      <c r="B148">
        <v>1.2598339999999999</v>
      </c>
      <c r="C148">
        <v>8.3320000000000009E-3</v>
      </c>
      <c r="D148">
        <v>6.2699999999999995E-4</v>
      </c>
      <c r="E148">
        <v>1.6906999999999998E-2</v>
      </c>
      <c r="F148" s="8" t="s">
        <v>189</v>
      </c>
      <c r="G148" s="9" t="s">
        <v>191</v>
      </c>
      <c r="H148" s="9">
        <v>64</v>
      </c>
      <c r="I148" s="9">
        <v>1</v>
      </c>
      <c r="J148" s="9">
        <v>16</v>
      </c>
      <c r="K148" s="9">
        <v>32</v>
      </c>
      <c r="L148" s="9">
        <v>1</v>
      </c>
      <c r="M148" s="9">
        <v>1</v>
      </c>
      <c r="N148" s="9">
        <v>2</v>
      </c>
      <c r="O148" s="9">
        <v>512</v>
      </c>
      <c r="P148" s="18">
        <f t="shared" si="6"/>
        <v>2.3645709813</v>
      </c>
      <c r="Q148" s="21">
        <f t="shared" si="7"/>
        <v>11.375</v>
      </c>
      <c r="R148" s="22">
        <f t="shared" si="8"/>
        <v>26.8969949122875</v>
      </c>
    </row>
    <row r="149" spans="1:18" x14ac:dyDescent="0.25">
      <c r="A149" t="s">
        <v>152</v>
      </c>
      <c r="B149">
        <v>1.259123</v>
      </c>
      <c r="C149">
        <v>8.3320000000000009E-3</v>
      </c>
      <c r="D149">
        <v>1.36E-4</v>
      </c>
      <c r="E149">
        <v>1.7308E-2</v>
      </c>
      <c r="F149" s="8" t="s">
        <v>189</v>
      </c>
      <c r="G149" s="9" t="s">
        <v>191</v>
      </c>
      <c r="H149" s="9">
        <v>64</v>
      </c>
      <c r="I149" s="9">
        <v>1</v>
      </c>
      <c r="J149" s="9">
        <v>16</v>
      </c>
      <c r="K149" s="9">
        <v>64</v>
      </c>
      <c r="L149" s="9">
        <v>1</v>
      </c>
      <c r="M149" s="9">
        <v>1</v>
      </c>
      <c r="N149" s="9">
        <v>2</v>
      </c>
      <c r="O149" s="9">
        <v>512</v>
      </c>
      <c r="P149" s="18">
        <f t="shared" si="6"/>
        <v>2.3584594144</v>
      </c>
      <c r="Q149" s="21">
        <f t="shared" si="7"/>
        <v>13.875</v>
      </c>
      <c r="R149" s="22">
        <f t="shared" si="8"/>
        <v>32.723624374799996</v>
      </c>
    </row>
    <row r="150" spans="1:18" x14ac:dyDescent="0.25">
      <c r="A150" t="s">
        <v>153</v>
      </c>
      <c r="B150">
        <v>1.232337</v>
      </c>
      <c r="C150">
        <v>5.777E-3</v>
      </c>
      <c r="D150">
        <v>1.2300000000000001E-4</v>
      </c>
      <c r="E150">
        <v>2.4805000000000001E-2</v>
      </c>
      <c r="F150" s="8" t="s">
        <v>189</v>
      </c>
      <c r="G150" s="9" t="s">
        <v>191</v>
      </c>
      <c r="H150" s="9">
        <v>64</v>
      </c>
      <c r="I150" s="9">
        <v>1</v>
      </c>
      <c r="J150" s="9">
        <v>32</v>
      </c>
      <c r="K150" s="9">
        <v>128</v>
      </c>
      <c r="L150" s="9">
        <v>1</v>
      </c>
      <c r="M150" s="9">
        <v>1</v>
      </c>
      <c r="N150" s="9">
        <v>2</v>
      </c>
      <c r="O150" s="9">
        <v>512</v>
      </c>
      <c r="P150" s="18">
        <f t="shared" si="6"/>
        <v>2.30597195</v>
      </c>
      <c r="Q150" s="21">
        <f t="shared" si="7"/>
        <v>20.125</v>
      </c>
      <c r="R150" s="22">
        <f t="shared" si="8"/>
        <v>46.407685493750002</v>
      </c>
    </row>
    <row r="151" spans="1:18" x14ac:dyDescent="0.25">
      <c r="A151" t="s">
        <v>154</v>
      </c>
      <c r="B151">
        <v>1.234974</v>
      </c>
      <c r="C151">
        <v>5.777E-3</v>
      </c>
      <c r="D151">
        <v>1.194E-3</v>
      </c>
      <c r="E151">
        <v>2.4719000000000001E-2</v>
      </c>
      <c r="F151" s="8" t="s">
        <v>189</v>
      </c>
      <c r="G151" s="9" t="s">
        <v>191</v>
      </c>
      <c r="H151" s="9">
        <v>64</v>
      </c>
      <c r="I151" s="9">
        <v>1</v>
      </c>
      <c r="J151" s="9">
        <v>32</v>
      </c>
      <c r="K151" s="9">
        <v>16</v>
      </c>
      <c r="L151" s="9">
        <v>1</v>
      </c>
      <c r="M151" s="9">
        <v>1</v>
      </c>
      <c r="N151" s="9">
        <v>2</v>
      </c>
      <c r="O151" s="9">
        <v>512</v>
      </c>
      <c r="P151" s="18">
        <f t="shared" si="6"/>
        <v>2.3219156149</v>
      </c>
      <c r="Q151" s="21">
        <f t="shared" si="7"/>
        <v>11.375</v>
      </c>
      <c r="R151" s="22">
        <f t="shared" si="8"/>
        <v>26.411790119487499</v>
      </c>
    </row>
    <row r="152" spans="1:18" x14ac:dyDescent="0.25">
      <c r="A152" t="s">
        <v>155</v>
      </c>
      <c r="B152">
        <v>1.2333259999999999</v>
      </c>
      <c r="C152">
        <v>5.777E-3</v>
      </c>
      <c r="D152">
        <v>6.2600000000000004E-4</v>
      </c>
      <c r="E152">
        <v>2.3956999999999999E-2</v>
      </c>
      <c r="F152" s="8" t="s">
        <v>189</v>
      </c>
      <c r="G152" s="9" t="s">
        <v>191</v>
      </c>
      <c r="H152" s="9">
        <v>64</v>
      </c>
      <c r="I152" s="9">
        <v>1</v>
      </c>
      <c r="J152" s="9">
        <v>32</v>
      </c>
      <c r="K152" s="9">
        <v>32</v>
      </c>
      <c r="L152" s="9">
        <v>1</v>
      </c>
      <c r="M152" s="9">
        <v>1</v>
      </c>
      <c r="N152" s="9">
        <v>2</v>
      </c>
      <c r="O152" s="9">
        <v>512</v>
      </c>
      <c r="P152" s="18">
        <f t="shared" si="6"/>
        <v>2.3126956670999999</v>
      </c>
      <c r="Q152" s="21">
        <f t="shared" si="7"/>
        <v>12.625</v>
      </c>
      <c r="R152" s="22">
        <f t="shared" si="8"/>
        <v>29.197782797137499</v>
      </c>
    </row>
    <row r="153" spans="1:18" x14ac:dyDescent="0.25">
      <c r="A153" t="s">
        <v>156</v>
      </c>
      <c r="B153">
        <v>1.2323850000000001</v>
      </c>
      <c r="C153">
        <v>5.777E-3</v>
      </c>
      <c r="D153">
        <v>1.36E-4</v>
      </c>
      <c r="E153">
        <v>2.4802999999999999E-2</v>
      </c>
      <c r="F153" s="8" t="s">
        <v>189</v>
      </c>
      <c r="G153" s="9" t="s">
        <v>191</v>
      </c>
      <c r="H153" s="9">
        <v>64</v>
      </c>
      <c r="I153" s="9">
        <v>1</v>
      </c>
      <c r="J153" s="9">
        <v>32</v>
      </c>
      <c r="K153" s="9">
        <v>64</v>
      </c>
      <c r="L153" s="9">
        <v>1</v>
      </c>
      <c r="M153" s="9">
        <v>1</v>
      </c>
      <c r="N153" s="9">
        <v>2</v>
      </c>
      <c r="O153" s="9">
        <v>512</v>
      </c>
      <c r="P153" s="18">
        <f t="shared" si="6"/>
        <v>2.3061810138999999</v>
      </c>
      <c r="Q153" s="21">
        <f t="shared" si="7"/>
        <v>15.125</v>
      </c>
      <c r="R153" s="22">
        <f t="shared" si="8"/>
        <v>34.880987835237498</v>
      </c>
    </row>
    <row r="154" spans="1:18" x14ac:dyDescent="0.25">
      <c r="A154" t="s">
        <v>157</v>
      </c>
      <c r="B154">
        <v>1.20848</v>
      </c>
      <c r="C154">
        <v>3.4680000000000002E-3</v>
      </c>
      <c r="D154">
        <v>1.2300000000000001E-4</v>
      </c>
      <c r="E154">
        <v>4.1189999999999997E-2</v>
      </c>
      <c r="F154" s="8" t="s">
        <v>189</v>
      </c>
      <c r="G154" s="9" t="s">
        <v>191</v>
      </c>
      <c r="H154" s="9">
        <v>64</v>
      </c>
      <c r="I154" s="9">
        <v>1</v>
      </c>
      <c r="J154" s="9">
        <v>64</v>
      </c>
      <c r="K154" s="9">
        <v>128</v>
      </c>
      <c r="L154" s="9">
        <v>1</v>
      </c>
      <c r="M154" s="9">
        <v>1</v>
      </c>
      <c r="N154" s="9">
        <v>2</v>
      </c>
      <c r="O154" s="9">
        <v>512</v>
      </c>
      <c r="P154" s="18">
        <f t="shared" si="6"/>
        <v>2.259181329</v>
      </c>
      <c r="Q154" s="21">
        <f t="shared" si="7"/>
        <v>22.625</v>
      </c>
      <c r="R154" s="22">
        <f t="shared" si="8"/>
        <v>51.113977568625003</v>
      </c>
    </row>
    <row r="155" spans="1:18" x14ac:dyDescent="0.25">
      <c r="A155" t="s">
        <v>158</v>
      </c>
      <c r="B155">
        <v>1.2114720000000001</v>
      </c>
      <c r="C155">
        <v>3.4680000000000002E-3</v>
      </c>
      <c r="D155">
        <v>1.188E-3</v>
      </c>
      <c r="E155">
        <v>3.9240999999999998E-2</v>
      </c>
      <c r="F155" s="8" t="s">
        <v>189</v>
      </c>
      <c r="G155" s="9" t="s">
        <v>191</v>
      </c>
      <c r="H155" s="9">
        <v>64</v>
      </c>
      <c r="I155" s="9">
        <v>1</v>
      </c>
      <c r="J155" s="9">
        <v>64</v>
      </c>
      <c r="K155" s="9">
        <v>16</v>
      </c>
      <c r="L155" s="9">
        <v>1</v>
      </c>
      <c r="M155" s="9">
        <v>1</v>
      </c>
      <c r="N155" s="9">
        <v>2</v>
      </c>
      <c r="O155" s="9">
        <v>512</v>
      </c>
      <c r="P155" s="18">
        <f t="shared" si="6"/>
        <v>2.2763026096000001</v>
      </c>
      <c r="Q155" s="21">
        <f t="shared" si="7"/>
        <v>13.875</v>
      </c>
      <c r="R155" s="22">
        <f t="shared" si="8"/>
        <v>31.5836987082</v>
      </c>
    </row>
    <row r="156" spans="1:18" x14ac:dyDescent="0.25">
      <c r="A156" t="s">
        <v>159</v>
      </c>
      <c r="B156">
        <v>1.209716</v>
      </c>
      <c r="C156">
        <v>3.4680000000000002E-3</v>
      </c>
      <c r="D156">
        <v>6.2399999999999999E-4</v>
      </c>
      <c r="E156">
        <v>3.8890000000000001E-2</v>
      </c>
      <c r="F156" s="8" t="s">
        <v>189</v>
      </c>
      <c r="G156" s="9" t="s">
        <v>191</v>
      </c>
      <c r="H156" s="9">
        <v>64</v>
      </c>
      <c r="I156" s="9">
        <v>1</v>
      </c>
      <c r="J156" s="9">
        <v>64</v>
      </c>
      <c r="K156" s="9">
        <v>32</v>
      </c>
      <c r="L156" s="9">
        <v>1</v>
      </c>
      <c r="M156" s="9">
        <v>1</v>
      </c>
      <c r="N156" s="9">
        <v>2</v>
      </c>
      <c r="O156" s="9">
        <v>512</v>
      </c>
      <c r="P156" s="18">
        <f t="shared" si="6"/>
        <v>2.2665497879999998</v>
      </c>
      <c r="Q156" s="21">
        <f t="shared" si="7"/>
        <v>15.125</v>
      </c>
      <c r="R156" s="22">
        <f t="shared" si="8"/>
        <v>34.281565543500001</v>
      </c>
    </row>
    <row r="157" spans="1:18" x14ac:dyDescent="0.25">
      <c r="A157" t="s">
        <v>160</v>
      </c>
      <c r="B157">
        <v>1.2085399999999999</v>
      </c>
      <c r="C157">
        <v>3.4680000000000002E-3</v>
      </c>
      <c r="D157">
        <v>1.35E-4</v>
      </c>
      <c r="E157">
        <v>4.1162999999999998E-2</v>
      </c>
      <c r="F157" s="8" t="s">
        <v>189</v>
      </c>
      <c r="G157" s="9" t="s">
        <v>191</v>
      </c>
      <c r="H157" s="9">
        <v>64</v>
      </c>
      <c r="I157" s="9">
        <v>1</v>
      </c>
      <c r="J157" s="9">
        <v>64</v>
      </c>
      <c r="K157" s="9">
        <v>64</v>
      </c>
      <c r="L157" s="9">
        <v>1</v>
      </c>
      <c r="M157" s="9">
        <v>1</v>
      </c>
      <c r="N157" s="9">
        <v>2</v>
      </c>
      <c r="O157" s="9">
        <v>512</v>
      </c>
      <c r="P157" s="18">
        <f t="shared" si="6"/>
        <v>2.2594010289000002</v>
      </c>
      <c r="Q157" s="21">
        <f t="shared" si="7"/>
        <v>17.625</v>
      </c>
      <c r="R157" s="22">
        <f t="shared" si="8"/>
        <v>39.821943134362506</v>
      </c>
    </row>
    <row r="158" spans="1:18" x14ac:dyDescent="0.25">
      <c r="A158" t="s">
        <v>161</v>
      </c>
      <c r="B158">
        <v>1.2323850000000001</v>
      </c>
      <c r="C158">
        <v>5.777E-3</v>
      </c>
      <c r="D158">
        <v>1.36E-4</v>
      </c>
      <c r="E158">
        <v>2.4802999999999999E-2</v>
      </c>
      <c r="F158" s="8" t="s">
        <v>189</v>
      </c>
      <c r="G158" s="9" t="s">
        <v>192</v>
      </c>
      <c r="H158" s="9">
        <v>64</v>
      </c>
      <c r="I158" s="9">
        <v>1</v>
      </c>
      <c r="J158" s="9">
        <v>32</v>
      </c>
      <c r="K158" s="9">
        <v>32</v>
      </c>
      <c r="L158" s="9">
        <v>1</v>
      </c>
      <c r="M158" s="9">
        <v>1</v>
      </c>
      <c r="N158" s="9">
        <v>2</v>
      </c>
      <c r="O158" s="9">
        <v>512</v>
      </c>
      <c r="P158" s="18">
        <f t="shared" si="6"/>
        <v>2.3061810138999999</v>
      </c>
      <c r="Q158" s="21">
        <f t="shared" si="7"/>
        <v>12.625</v>
      </c>
      <c r="R158" s="22">
        <f t="shared" si="8"/>
        <v>29.115535300487497</v>
      </c>
    </row>
    <row r="159" spans="1:18" x14ac:dyDescent="0.25">
      <c r="A159" t="s">
        <v>162</v>
      </c>
      <c r="B159">
        <v>1.1879999999999999</v>
      </c>
      <c r="C159">
        <v>2.3679999999999999E-3</v>
      </c>
      <c r="D159">
        <v>1.36E-4</v>
      </c>
      <c r="E159">
        <v>5.9326999999999998E-2</v>
      </c>
      <c r="F159" s="8" t="s">
        <v>189</v>
      </c>
      <c r="G159" s="9" t="s">
        <v>192</v>
      </c>
      <c r="H159" s="9">
        <v>64</v>
      </c>
      <c r="I159" s="9">
        <v>1</v>
      </c>
      <c r="J159" s="9">
        <v>32</v>
      </c>
      <c r="K159" s="9">
        <v>32</v>
      </c>
      <c r="L159" s="9">
        <v>2</v>
      </c>
      <c r="M159" s="9">
        <v>1</v>
      </c>
      <c r="N159" s="9">
        <v>2</v>
      </c>
      <c r="O159" s="9">
        <v>512</v>
      </c>
      <c r="P159" s="18">
        <f t="shared" si="6"/>
        <v>2.2278954808</v>
      </c>
      <c r="Q159" s="21">
        <f t="shared" si="7"/>
        <v>15.125</v>
      </c>
      <c r="R159" s="22">
        <f t="shared" si="8"/>
        <v>33.696919147099997</v>
      </c>
    </row>
    <row r="160" spans="1:18" x14ac:dyDescent="0.25">
      <c r="A160" t="s">
        <v>163</v>
      </c>
      <c r="B160">
        <v>1.185092</v>
      </c>
      <c r="C160">
        <v>2.029E-3</v>
      </c>
      <c r="D160">
        <v>1.35E-4</v>
      </c>
      <c r="E160">
        <v>6.8987999999999994E-2</v>
      </c>
      <c r="F160" s="8" t="s">
        <v>189</v>
      </c>
      <c r="G160" s="9" t="s">
        <v>192</v>
      </c>
      <c r="H160" s="9">
        <v>64</v>
      </c>
      <c r="I160" s="9">
        <v>1</v>
      </c>
      <c r="J160" s="9">
        <v>32</v>
      </c>
      <c r="K160" s="9">
        <v>32</v>
      </c>
      <c r="L160" s="9">
        <v>4</v>
      </c>
      <c r="M160" s="9">
        <v>1</v>
      </c>
      <c r="N160" s="9">
        <v>2</v>
      </c>
      <c r="O160" s="9">
        <v>512</v>
      </c>
      <c r="P160" s="18">
        <f t="shared" si="6"/>
        <v>2.2216610031999999</v>
      </c>
      <c r="Q160" s="21">
        <f t="shared" si="7"/>
        <v>20.125</v>
      </c>
      <c r="R160" s="22">
        <f t="shared" si="8"/>
        <v>44.710927689400002</v>
      </c>
    </row>
    <row r="161" spans="1:18" x14ac:dyDescent="0.25">
      <c r="A161" t="s">
        <v>164</v>
      </c>
      <c r="B161">
        <v>1.2323850000000001</v>
      </c>
      <c r="C161">
        <v>5.777E-3</v>
      </c>
      <c r="D161">
        <v>1.36E-4</v>
      </c>
      <c r="E161">
        <v>2.4802999999999999E-2</v>
      </c>
      <c r="F161" s="8" t="s">
        <v>189</v>
      </c>
      <c r="G161" s="9" t="s">
        <v>193</v>
      </c>
      <c r="H161" s="9">
        <v>64</v>
      </c>
      <c r="I161" s="9">
        <v>1</v>
      </c>
      <c r="J161" s="9">
        <v>32</v>
      </c>
      <c r="K161" s="9">
        <v>32</v>
      </c>
      <c r="L161" s="9">
        <v>1</v>
      </c>
      <c r="M161" s="9">
        <v>1</v>
      </c>
      <c r="N161" s="9">
        <v>2</v>
      </c>
      <c r="O161" s="9">
        <v>512</v>
      </c>
      <c r="P161" s="18">
        <f t="shared" si="6"/>
        <v>2.3061810138999999</v>
      </c>
      <c r="Q161" s="21">
        <f t="shared" si="7"/>
        <v>12.625</v>
      </c>
      <c r="R161" s="22">
        <f t="shared" si="8"/>
        <v>29.115535300487497</v>
      </c>
    </row>
    <row r="162" spans="1:18" x14ac:dyDescent="0.25">
      <c r="A162" t="s">
        <v>165</v>
      </c>
      <c r="B162">
        <v>1.232289</v>
      </c>
      <c r="C162">
        <v>5.777E-3</v>
      </c>
      <c r="D162">
        <v>1.02E-4</v>
      </c>
      <c r="E162">
        <v>2.4715999999999998E-2</v>
      </c>
      <c r="F162" s="8" t="s">
        <v>189</v>
      </c>
      <c r="G162" s="9" t="s">
        <v>193</v>
      </c>
      <c r="H162" s="9">
        <v>64</v>
      </c>
      <c r="I162" s="9">
        <v>1</v>
      </c>
      <c r="J162" s="9">
        <v>32</v>
      </c>
      <c r="K162" s="9">
        <v>32</v>
      </c>
      <c r="L162" s="9">
        <v>1</v>
      </c>
      <c r="M162" s="9">
        <v>2</v>
      </c>
      <c r="N162" s="9">
        <v>2</v>
      </c>
      <c r="O162" s="9">
        <v>512</v>
      </c>
      <c r="P162" s="18">
        <f t="shared" si="6"/>
        <v>2.3056095364</v>
      </c>
      <c r="Q162" s="21">
        <f t="shared" si="7"/>
        <v>12.625</v>
      </c>
      <c r="R162" s="22">
        <f t="shared" si="8"/>
        <v>29.108320397050001</v>
      </c>
    </row>
    <row r="163" spans="1:18" x14ac:dyDescent="0.25">
      <c r="A163" t="s">
        <v>166</v>
      </c>
      <c r="B163">
        <v>1.2322610000000001</v>
      </c>
      <c r="C163">
        <v>5.777E-3</v>
      </c>
      <c r="D163">
        <v>8.2000000000000001E-5</v>
      </c>
      <c r="E163">
        <v>2.4750999999999999E-2</v>
      </c>
      <c r="F163" s="8" t="s">
        <v>189</v>
      </c>
      <c r="G163" s="9" t="s">
        <v>193</v>
      </c>
      <c r="H163" s="9">
        <v>64</v>
      </c>
      <c r="I163" s="9">
        <v>1</v>
      </c>
      <c r="J163" s="9">
        <v>32</v>
      </c>
      <c r="K163" s="9">
        <v>32</v>
      </c>
      <c r="L163" s="9">
        <v>1</v>
      </c>
      <c r="M163" s="9">
        <v>4</v>
      </c>
      <c r="N163" s="9">
        <v>2</v>
      </c>
      <c r="O163" s="9">
        <v>512</v>
      </c>
      <c r="P163" s="18">
        <f t="shared" si="6"/>
        <v>2.3053526109</v>
      </c>
      <c r="Q163" s="21">
        <f t="shared" si="7"/>
        <v>12.625</v>
      </c>
      <c r="R163" s="22">
        <f t="shared" si="8"/>
        <v>29.105076712612501</v>
      </c>
    </row>
    <row r="164" spans="1:18" x14ac:dyDescent="0.25">
      <c r="A164" t="s">
        <v>167</v>
      </c>
      <c r="B164">
        <v>1.2327090000000001</v>
      </c>
      <c r="C164">
        <v>5.7800000000000004E-3</v>
      </c>
      <c r="D164">
        <v>1.36E-4</v>
      </c>
      <c r="E164">
        <v>2.6973E-2</v>
      </c>
      <c r="F164" s="8" t="s">
        <v>189</v>
      </c>
      <c r="G164" s="9" t="s">
        <v>194</v>
      </c>
      <c r="H164" s="9">
        <v>64</v>
      </c>
      <c r="I164" s="9">
        <v>1</v>
      </c>
      <c r="J164" s="9">
        <v>32</v>
      </c>
      <c r="K164" s="9">
        <v>32</v>
      </c>
      <c r="L164" s="9">
        <v>1</v>
      </c>
      <c r="M164" s="9">
        <v>1</v>
      </c>
      <c r="N164" s="9">
        <v>1</v>
      </c>
      <c r="O164" s="9">
        <v>512</v>
      </c>
      <c r="P164" s="18">
        <f t="shared" si="6"/>
        <v>2.3078262268</v>
      </c>
      <c r="Q164" s="21">
        <f t="shared" si="7"/>
        <v>12.625</v>
      </c>
      <c r="R164" s="22">
        <f t="shared" si="8"/>
        <v>29.136306113349999</v>
      </c>
    </row>
    <row r="165" spans="1:18" x14ac:dyDescent="0.25">
      <c r="A165" t="s">
        <v>168</v>
      </c>
      <c r="B165">
        <v>1.2323850000000001</v>
      </c>
      <c r="C165">
        <v>5.777E-3</v>
      </c>
      <c r="D165">
        <v>1.36E-4</v>
      </c>
      <c r="E165">
        <v>2.4802999999999999E-2</v>
      </c>
      <c r="F165" s="8" t="s">
        <v>189</v>
      </c>
      <c r="G165" s="9" t="s">
        <v>194</v>
      </c>
      <c r="H165" s="9">
        <v>64</v>
      </c>
      <c r="I165" s="9">
        <v>1</v>
      </c>
      <c r="J165" s="9">
        <v>32</v>
      </c>
      <c r="K165" s="9">
        <v>32</v>
      </c>
      <c r="L165" s="9">
        <v>1</v>
      </c>
      <c r="M165" s="9">
        <v>1</v>
      </c>
      <c r="N165" s="9">
        <v>2</v>
      </c>
      <c r="O165" s="9">
        <v>512</v>
      </c>
      <c r="P165" s="18">
        <f t="shared" si="6"/>
        <v>2.3061810138999999</v>
      </c>
      <c r="Q165" s="21">
        <f t="shared" si="7"/>
        <v>12.625</v>
      </c>
      <c r="R165" s="22">
        <f t="shared" si="8"/>
        <v>29.115535300487497</v>
      </c>
    </row>
    <row r="166" spans="1:18" x14ac:dyDescent="0.25">
      <c r="A166" t="s">
        <v>169</v>
      </c>
      <c r="B166">
        <v>1.232297</v>
      </c>
      <c r="C166">
        <v>5.777E-3</v>
      </c>
      <c r="D166">
        <v>1.36E-4</v>
      </c>
      <c r="E166">
        <v>2.4254000000000001E-2</v>
      </c>
      <c r="F166" s="8" t="s">
        <v>189</v>
      </c>
      <c r="G166" s="9" t="s">
        <v>194</v>
      </c>
      <c r="H166" s="9">
        <v>64</v>
      </c>
      <c r="I166" s="9">
        <v>1</v>
      </c>
      <c r="J166" s="9">
        <v>32</v>
      </c>
      <c r="K166" s="9">
        <v>32</v>
      </c>
      <c r="L166" s="9">
        <v>1</v>
      </c>
      <c r="M166" s="9">
        <v>1</v>
      </c>
      <c r="N166" s="9">
        <v>4</v>
      </c>
      <c r="O166" s="9">
        <v>512</v>
      </c>
      <c r="P166" s="18">
        <f t="shared" si="6"/>
        <v>2.3057683901999999</v>
      </c>
      <c r="Q166" s="21">
        <f t="shared" si="7"/>
        <v>12.625</v>
      </c>
      <c r="R166" s="22">
        <f t="shared" si="8"/>
        <v>29.110325926274999</v>
      </c>
    </row>
    <row r="167" spans="1:18" x14ac:dyDescent="0.25">
      <c r="A167" t="s">
        <v>170</v>
      </c>
      <c r="B167">
        <v>1.2322789999999999</v>
      </c>
      <c r="C167">
        <v>5.777E-3</v>
      </c>
      <c r="D167">
        <v>1.36E-4</v>
      </c>
      <c r="E167">
        <v>2.4129000000000001E-2</v>
      </c>
      <c r="F167" s="8" t="s">
        <v>189</v>
      </c>
      <c r="G167" s="9" t="s">
        <v>184</v>
      </c>
      <c r="H167" s="9">
        <v>64</v>
      </c>
      <c r="I167" s="9">
        <v>1</v>
      </c>
      <c r="J167" s="9">
        <v>32</v>
      </c>
      <c r="K167" s="9">
        <v>32</v>
      </c>
      <c r="L167" s="9">
        <v>1</v>
      </c>
      <c r="M167" s="9">
        <v>1</v>
      </c>
      <c r="N167" s="9">
        <v>2</v>
      </c>
      <c r="O167" s="9">
        <v>1024</v>
      </c>
      <c r="P167" s="18">
        <f t="shared" si="6"/>
        <v>2.3056764776999996</v>
      </c>
      <c r="Q167" s="21">
        <f t="shared" si="7"/>
        <v>12.75</v>
      </c>
      <c r="R167" s="22">
        <f t="shared" si="8"/>
        <v>29.397375090674995</v>
      </c>
    </row>
    <row r="168" spans="1:18" x14ac:dyDescent="0.25">
      <c r="A168" t="s">
        <v>171</v>
      </c>
      <c r="B168">
        <v>1.233336</v>
      </c>
      <c r="C168">
        <v>5.7809999999999997E-3</v>
      </c>
      <c r="D168">
        <v>1.36E-4</v>
      </c>
      <c r="E168">
        <v>3.0449E-2</v>
      </c>
      <c r="F168" s="8" t="s">
        <v>189</v>
      </c>
      <c r="G168" s="9" t="s">
        <v>184</v>
      </c>
      <c r="H168" s="9">
        <v>64</v>
      </c>
      <c r="I168" s="9">
        <v>1</v>
      </c>
      <c r="J168" s="9">
        <v>32</v>
      </c>
      <c r="K168" s="9">
        <v>32</v>
      </c>
      <c r="L168" s="9">
        <v>1</v>
      </c>
      <c r="M168" s="9">
        <v>1</v>
      </c>
      <c r="N168" s="9">
        <v>2</v>
      </c>
      <c r="O168" s="9">
        <v>256</v>
      </c>
      <c r="P168" s="18">
        <f t="shared" si="6"/>
        <v>2.3105226732999999</v>
      </c>
      <c r="Q168" s="21">
        <f t="shared" si="7"/>
        <v>12.5625</v>
      </c>
      <c r="R168" s="22">
        <f t="shared" si="8"/>
        <v>29.025941083331251</v>
      </c>
    </row>
    <row r="169" spans="1:18" x14ac:dyDescent="0.25">
      <c r="A169" t="s">
        <v>172</v>
      </c>
      <c r="B169">
        <v>1.2322789999999999</v>
      </c>
      <c r="C169">
        <v>5.777E-3</v>
      </c>
      <c r="D169">
        <v>1.36E-4</v>
      </c>
      <c r="E169">
        <v>2.4129000000000001E-2</v>
      </c>
      <c r="F169" s="8" t="s">
        <v>189</v>
      </c>
      <c r="G169" s="9" t="s">
        <v>184</v>
      </c>
      <c r="H169" s="9">
        <v>64</v>
      </c>
      <c r="I169" s="9">
        <v>1</v>
      </c>
      <c r="J169" s="9">
        <v>32</v>
      </c>
      <c r="K169" s="9">
        <v>32</v>
      </c>
      <c r="L169" s="9">
        <v>1</v>
      </c>
      <c r="M169" s="9">
        <v>1</v>
      </c>
      <c r="N169" s="9">
        <v>2</v>
      </c>
      <c r="O169" s="9">
        <v>2048</v>
      </c>
      <c r="P169" s="18">
        <f t="shared" si="6"/>
        <v>2.3056764776999996</v>
      </c>
      <c r="Q169" s="21">
        <f t="shared" si="7"/>
        <v>13</v>
      </c>
      <c r="R169" s="22">
        <f t="shared" si="8"/>
        <v>29.973794210099996</v>
      </c>
    </row>
    <row r="170" spans="1:18" x14ac:dyDescent="0.25">
      <c r="A170" t="s">
        <v>173</v>
      </c>
      <c r="B170">
        <v>1.2322789999999999</v>
      </c>
      <c r="C170">
        <v>5.777E-3</v>
      </c>
      <c r="D170">
        <v>1.36E-4</v>
      </c>
      <c r="E170">
        <v>2.4129000000000001E-2</v>
      </c>
      <c r="F170" s="8" t="s">
        <v>189</v>
      </c>
      <c r="G170" s="9" t="s">
        <v>184</v>
      </c>
      <c r="H170" s="9">
        <v>64</v>
      </c>
      <c r="I170" s="9">
        <v>1</v>
      </c>
      <c r="J170" s="9">
        <v>32</v>
      </c>
      <c r="K170" s="9">
        <v>32</v>
      </c>
      <c r="L170" s="9">
        <v>1</v>
      </c>
      <c r="M170" s="9">
        <v>1</v>
      </c>
      <c r="N170" s="9">
        <v>2</v>
      </c>
      <c r="O170" s="9">
        <v>4096</v>
      </c>
      <c r="P170" s="18">
        <f t="shared" si="6"/>
        <v>2.3056764776999996</v>
      </c>
      <c r="Q170" s="21">
        <f t="shared" si="7"/>
        <v>13.5</v>
      </c>
      <c r="R170" s="22">
        <f t="shared" si="8"/>
        <v>31.126632448949994</v>
      </c>
    </row>
    <row r="171" spans="1:18" ht="15.75" thickBot="1" x14ac:dyDescent="0.3">
      <c r="A171" t="s">
        <v>174</v>
      </c>
      <c r="B171">
        <v>1.2323850000000001</v>
      </c>
      <c r="C171">
        <v>5.777E-3</v>
      </c>
      <c r="D171">
        <v>1.36E-4</v>
      </c>
      <c r="E171">
        <v>2.4802999999999999E-2</v>
      </c>
      <c r="F171" s="10" t="s">
        <v>189</v>
      </c>
      <c r="G171" s="11" t="s">
        <v>184</v>
      </c>
      <c r="H171" s="11">
        <v>64</v>
      </c>
      <c r="I171" s="11">
        <v>1</v>
      </c>
      <c r="J171" s="11">
        <v>32</v>
      </c>
      <c r="K171" s="11">
        <v>32</v>
      </c>
      <c r="L171" s="11">
        <v>1</v>
      </c>
      <c r="M171" s="11">
        <v>1</v>
      </c>
      <c r="N171" s="11">
        <v>2</v>
      </c>
      <c r="O171" s="11">
        <v>512</v>
      </c>
      <c r="P171" s="19">
        <f t="shared" si="6"/>
        <v>2.3061810138999999</v>
      </c>
      <c r="Q171" s="21">
        <f t="shared" si="7"/>
        <v>12.625</v>
      </c>
      <c r="R171" s="24">
        <f t="shared" si="8"/>
        <v>29.115535300487497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FA24F-C9E3-4766-9FF2-9AE3163FFAB4}">
  <sheetPr codeName="shData2"/>
  <dimension ref="A1:V171"/>
  <sheetViews>
    <sheetView tabSelected="1" topLeftCell="A26" workbookViewId="0">
      <selection activeCell="B7" sqref="B7"/>
    </sheetView>
  </sheetViews>
  <sheetFormatPr defaultRowHeight="15" x14ac:dyDescent="0.25"/>
  <cols>
    <col min="1" max="1" width="23.140625" customWidth="1"/>
    <col min="2" max="2" width="18.28515625" bestFit="1" customWidth="1"/>
    <col min="3" max="3" width="20.7109375" bestFit="1" customWidth="1"/>
    <col min="4" max="4" width="13.42578125" bestFit="1" customWidth="1"/>
    <col min="5" max="5" width="11.28515625" bestFit="1" customWidth="1"/>
    <col min="8" max="8" width="10.140625" bestFit="1" customWidth="1"/>
    <col min="9" max="9" width="15.85546875" bestFit="1" customWidth="1"/>
    <col min="10" max="11" width="15.42578125" bestFit="1" customWidth="1"/>
    <col min="12" max="14" width="12.7109375" bestFit="1" customWidth="1"/>
    <col min="15" max="15" width="10.85546875" bestFit="1" customWidth="1"/>
    <col min="16" max="16" width="11.85546875" customWidth="1"/>
    <col min="17" max="17" width="11.5703125" bestFit="1" customWidth="1"/>
    <col min="21" max="21" width="12" style="27" customWidth="1"/>
    <col min="22" max="22" width="19" style="27" bestFit="1" customWidth="1"/>
  </cols>
  <sheetData>
    <row r="1" spans="1:22" ht="15.75" thickBot="1" x14ac:dyDescent="0.3">
      <c r="A1" s="1" t="s">
        <v>0</v>
      </c>
      <c r="B1" s="1" t="s">
        <v>244</v>
      </c>
      <c r="C1" s="1" t="s">
        <v>245</v>
      </c>
      <c r="D1" s="1" t="s">
        <v>242</v>
      </c>
      <c r="E1" s="1" t="s">
        <v>241</v>
      </c>
      <c r="F1" s="1" t="s">
        <v>175</v>
      </c>
      <c r="G1" s="1" t="s">
        <v>176</v>
      </c>
      <c r="H1" s="1" t="s">
        <v>177</v>
      </c>
      <c r="I1" s="1" t="s">
        <v>178</v>
      </c>
      <c r="J1" s="1" t="s">
        <v>179</v>
      </c>
      <c r="K1" s="1" t="s">
        <v>180</v>
      </c>
      <c r="L1" s="1" t="s">
        <v>181</v>
      </c>
      <c r="M1" s="1" t="s">
        <v>182</v>
      </c>
      <c r="N1" s="1" t="s">
        <v>183</v>
      </c>
      <c r="O1" s="1" t="s">
        <v>196</v>
      </c>
      <c r="P1" s="1" t="s">
        <v>246</v>
      </c>
      <c r="Q1" s="1" t="s">
        <v>247</v>
      </c>
      <c r="U1" s="27" t="s">
        <v>175</v>
      </c>
      <c r="V1" s="27" t="s">
        <v>243</v>
      </c>
    </row>
    <row r="2" spans="1:22" x14ac:dyDescent="0.25">
      <c r="A2" s="28" t="str">
        <f>"./" &amp; U2 &amp; "/" &amp; TRIM(V2)</f>
        <v>./specbzip/l2_size.256kB</v>
      </c>
      <c r="B2" s="29">
        <v>1.1464399999999999</v>
      </c>
      <c r="C2" s="29">
        <v>0.12597800000000001</v>
      </c>
      <c r="D2" s="29">
        <v>0.178282</v>
      </c>
      <c r="E2" s="29">
        <v>226.84922599999999</v>
      </c>
      <c r="F2" s="29" t="s">
        <v>185</v>
      </c>
      <c r="G2" s="29" t="s">
        <v>184</v>
      </c>
      <c r="H2" s="29">
        <v>64</v>
      </c>
      <c r="I2" s="29">
        <v>1</v>
      </c>
      <c r="J2" s="29">
        <v>32</v>
      </c>
      <c r="K2" s="29">
        <v>32</v>
      </c>
      <c r="L2" s="29">
        <v>1</v>
      </c>
      <c r="M2" s="29">
        <v>1</v>
      </c>
      <c r="N2" s="29">
        <v>2</v>
      </c>
      <c r="O2" s="29">
        <v>256</v>
      </c>
      <c r="P2" s="30">
        <f>1/E2*1000</f>
        <v>4.4082142911962157</v>
      </c>
      <c r="U2" s="27" t="s">
        <v>185</v>
      </c>
      <c r="V2" s="27" t="s">
        <v>207</v>
      </c>
    </row>
    <row r="3" spans="1:22" x14ac:dyDescent="0.25">
      <c r="A3" s="31" t="str">
        <f t="shared" ref="A3:A66" si="0">"./" &amp; U3 &amp; "/" &amp; TRIM(V3)</f>
        <v>./specbzip/l2d_assoc.4</v>
      </c>
      <c r="B3" s="32">
        <v>1.14703</v>
      </c>
      <c r="C3" s="32">
        <v>0.12836600000000001</v>
      </c>
      <c r="D3" s="32">
        <v>0.17261599999999999</v>
      </c>
      <c r="E3" s="32">
        <v>220.15375599999999</v>
      </c>
      <c r="F3" s="32" t="s">
        <v>185</v>
      </c>
      <c r="G3" s="32" t="s">
        <v>194</v>
      </c>
      <c r="H3" s="32">
        <v>64</v>
      </c>
      <c r="I3" s="32">
        <v>1</v>
      </c>
      <c r="J3" s="32">
        <v>32</v>
      </c>
      <c r="K3" s="32">
        <v>32</v>
      </c>
      <c r="L3" s="32">
        <v>1</v>
      </c>
      <c r="M3" s="32">
        <v>1</v>
      </c>
      <c r="N3" s="32">
        <v>4</v>
      </c>
      <c r="O3" s="32">
        <v>512</v>
      </c>
      <c r="P3" s="33">
        <f t="shared" ref="P3:P66" si="1">1/E3*1000</f>
        <v>4.5422799872649007</v>
      </c>
      <c r="U3" s="27" t="s">
        <v>185</v>
      </c>
      <c r="V3" s="27" t="s">
        <v>208</v>
      </c>
    </row>
    <row r="4" spans="1:22" x14ac:dyDescent="0.25">
      <c r="A4" s="31" t="str">
        <f t="shared" si="0"/>
        <v>./specbzip/l1i_assoc.2</v>
      </c>
      <c r="B4" s="32">
        <v>1.14927</v>
      </c>
      <c r="C4" s="32">
        <v>0.128418</v>
      </c>
      <c r="D4" s="32">
        <v>0.17277000000000001</v>
      </c>
      <c r="E4" s="32">
        <v>220.74615600000001</v>
      </c>
      <c r="F4" s="32" t="s">
        <v>185</v>
      </c>
      <c r="G4" s="32" t="s">
        <v>193</v>
      </c>
      <c r="H4" s="32">
        <v>64</v>
      </c>
      <c r="I4" s="32">
        <v>1</v>
      </c>
      <c r="J4" s="32">
        <v>32</v>
      </c>
      <c r="K4" s="32">
        <v>32</v>
      </c>
      <c r="L4" s="32">
        <v>1</v>
      </c>
      <c r="M4" s="32">
        <v>2</v>
      </c>
      <c r="N4" s="32">
        <v>2</v>
      </c>
      <c r="O4" s="32">
        <v>512</v>
      </c>
      <c r="P4" s="33">
        <f t="shared" si="1"/>
        <v>4.5300902091359632</v>
      </c>
      <c r="U4" s="27" t="s">
        <v>185</v>
      </c>
      <c r="V4" s="27" t="s">
        <v>209</v>
      </c>
    </row>
    <row r="5" spans="1:22" x14ac:dyDescent="0.25">
      <c r="A5" s="31" t="str">
        <f t="shared" si="0"/>
        <v>./specbzip/l1d.64kB_l1i.128kB</v>
      </c>
      <c r="B5" s="32">
        <v>1.83192</v>
      </c>
      <c r="C5" s="32">
        <v>0.34282499999999999</v>
      </c>
      <c r="D5" s="32">
        <v>0.16936899999999999</v>
      </c>
      <c r="E5" s="32">
        <v>368.33438599999999</v>
      </c>
      <c r="F5" s="32" t="s">
        <v>185</v>
      </c>
      <c r="G5" s="32" t="s">
        <v>191</v>
      </c>
      <c r="H5" s="32">
        <v>64</v>
      </c>
      <c r="I5" s="32">
        <v>1</v>
      </c>
      <c r="J5" s="32">
        <v>64</v>
      </c>
      <c r="K5" s="32">
        <v>128</v>
      </c>
      <c r="L5" s="32">
        <v>1</v>
      </c>
      <c r="M5" s="32">
        <v>1</v>
      </c>
      <c r="N5" s="32">
        <v>2</v>
      </c>
      <c r="O5" s="32">
        <v>512</v>
      </c>
      <c r="P5" s="33">
        <f t="shared" si="1"/>
        <v>2.714924367664115</v>
      </c>
      <c r="U5" s="27" t="s">
        <v>185</v>
      </c>
      <c r="V5" s="27" t="s">
        <v>210</v>
      </c>
    </row>
    <row r="6" spans="1:22" x14ac:dyDescent="0.25">
      <c r="A6" s="31" t="str">
        <f t="shared" si="0"/>
        <v>./specbzip/l1d.16kB_l1i.32kB</v>
      </c>
      <c r="B6" s="32">
        <v>0.73653299999999999</v>
      </c>
      <c r="C6" s="32">
        <v>0.125972</v>
      </c>
      <c r="D6" s="32">
        <v>0.17736099999999999</v>
      </c>
      <c r="E6" s="32">
        <v>152.974749</v>
      </c>
      <c r="F6" s="32" t="s">
        <v>185</v>
      </c>
      <c r="G6" s="32" t="s">
        <v>191</v>
      </c>
      <c r="H6" s="32">
        <v>64</v>
      </c>
      <c r="I6" s="32">
        <v>1</v>
      </c>
      <c r="J6" s="32">
        <v>16</v>
      </c>
      <c r="K6" s="32">
        <v>32</v>
      </c>
      <c r="L6" s="32">
        <v>1</v>
      </c>
      <c r="M6" s="32">
        <v>1</v>
      </c>
      <c r="N6" s="32">
        <v>2</v>
      </c>
      <c r="O6" s="32">
        <v>512</v>
      </c>
      <c r="P6" s="33">
        <f t="shared" si="1"/>
        <v>6.53702657815768</v>
      </c>
      <c r="U6" s="27" t="s">
        <v>185</v>
      </c>
      <c r="V6" s="27" t="s">
        <v>211</v>
      </c>
    </row>
    <row r="7" spans="1:22" x14ac:dyDescent="0.25">
      <c r="A7" s="31" t="str">
        <f t="shared" si="0"/>
        <v>./specbzip/cpu_clock.1GHz</v>
      </c>
      <c r="B7" s="32">
        <v>1.14703</v>
      </c>
      <c r="C7" s="32">
        <v>0.128417</v>
      </c>
      <c r="D7" s="32">
        <v>0.17277500000000001</v>
      </c>
      <c r="E7" s="32">
        <v>220.36535499999999</v>
      </c>
      <c r="F7" s="32" t="s">
        <v>185</v>
      </c>
      <c r="G7" s="32" t="s">
        <v>195</v>
      </c>
      <c r="H7" s="32">
        <v>64</v>
      </c>
      <c r="I7" s="32">
        <v>1</v>
      </c>
      <c r="J7" s="32">
        <v>32</v>
      </c>
      <c r="K7" s="32">
        <v>32</v>
      </c>
      <c r="L7" s="32">
        <v>1</v>
      </c>
      <c r="M7" s="32">
        <v>1</v>
      </c>
      <c r="N7" s="32">
        <v>2</v>
      </c>
      <c r="O7" s="32">
        <v>512</v>
      </c>
      <c r="P7" s="33">
        <f t="shared" si="1"/>
        <v>4.5379184037345617</v>
      </c>
      <c r="U7" s="27" t="s">
        <v>185</v>
      </c>
      <c r="V7" s="27" t="s">
        <v>212</v>
      </c>
    </row>
    <row r="8" spans="1:22" x14ac:dyDescent="0.25">
      <c r="A8" s="31" t="str">
        <f t="shared" si="0"/>
        <v>./specbzip/l1d.32kB_l1i.64kB</v>
      </c>
      <c r="B8" s="32">
        <v>1.14703</v>
      </c>
      <c r="C8" s="32">
        <v>0.128417</v>
      </c>
      <c r="D8" s="32">
        <v>0.17277500000000001</v>
      </c>
      <c r="E8" s="32">
        <v>220.36535499999999</v>
      </c>
      <c r="F8" s="32" t="s">
        <v>185</v>
      </c>
      <c r="G8" s="32" t="s">
        <v>191</v>
      </c>
      <c r="H8" s="32">
        <v>64</v>
      </c>
      <c r="I8" s="32">
        <v>1</v>
      </c>
      <c r="J8" s="32">
        <v>32</v>
      </c>
      <c r="K8" s="32">
        <v>64</v>
      </c>
      <c r="L8" s="32">
        <v>1</v>
      </c>
      <c r="M8" s="32">
        <v>1</v>
      </c>
      <c r="N8" s="32">
        <v>2</v>
      </c>
      <c r="O8" s="32">
        <v>512</v>
      </c>
      <c r="P8" s="33">
        <f t="shared" si="1"/>
        <v>4.5379184037345617</v>
      </c>
      <c r="U8" s="27" t="s">
        <v>185</v>
      </c>
      <c r="V8" s="27" t="s">
        <v>213</v>
      </c>
    </row>
    <row r="9" spans="1:22" x14ac:dyDescent="0.25">
      <c r="A9" s="31" t="str">
        <f t="shared" si="0"/>
        <v>./specbzip/l2d_assoc.1</v>
      </c>
      <c r="B9" s="32">
        <v>1.1470199999999999</v>
      </c>
      <c r="C9" s="32">
        <v>0.12809899999999999</v>
      </c>
      <c r="D9" s="32">
        <v>0.17450299999999999</v>
      </c>
      <c r="E9" s="32">
        <v>222.512091</v>
      </c>
      <c r="F9" s="32" t="s">
        <v>185</v>
      </c>
      <c r="G9" s="32" t="s">
        <v>194</v>
      </c>
      <c r="H9" s="32">
        <v>64</v>
      </c>
      <c r="I9" s="32">
        <v>1</v>
      </c>
      <c r="J9" s="32">
        <v>32</v>
      </c>
      <c r="K9" s="32">
        <v>32</v>
      </c>
      <c r="L9" s="32">
        <v>1</v>
      </c>
      <c r="M9" s="32">
        <v>1</v>
      </c>
      <c r="N9" s="32">
        <v>1</v>
      </c>
      <c r="O9" s="32">
        <v>512</v>
      </c>
      <c r="P9" s="33">
        <f t="shared" si="1"/>
        <v>4.4941378039542128</v>
      </c>
      <c r="U9" s="27" t="s">
        <v>185</v>
      </c>
      <c r="V9" s="27" t="s">
        <v>214</v>
      </c>
    </row>
    <row r="10" spans="1:22" x14ac:dyDescent="0.25">
      <c r="A10" s="31" t="str">
        <f t="shared" si="0"/>
        <v>./specbzip/l1i_assoc.1</v>
      </c>
      <c r="B10" s="32">
        <v>1.14703</v>
      </c>
      <c r="C10" s="32">
        <v>0.128417</v>
      </c>
      <c r="D10" s="32">
        <v>0.17277500000000001</v>
      </c>
      <c r="E10" s="32">
        <v>220.36535499999999</v>
      </c>
      <c r="F10" s="32" t="s">
        <v>185</v>
      </c>
      <c r="G10" s="32" t="s">
        <v>193</v>
      </c>
      <c r="H10" s="32">
        <v>64</v>
      </c>
      <c r="I10" s="32">
        <v>1</v>
      </c>
      <c r="J10" s="32">
        <v>32</v>
      </c>
      <c r="K10" s="32">
        <v>32</v>
      </c>
      <c r="L10" s="32">
        <v>1</v>
      </c>
      <c r="M10" s="32">
        <v>1</v>
      </c>
      <c r="N10" s="32">
        <v>2</v>
      </c>
      <c r="O10" s="32">
        <v>512</v>
      </c>
      <c r="P10" s="33">
        <f t="shared" si="1"/>
        <v>4.5379184037345617</v>
      </c>
      <c r="U10" s="27" t="s">
        <v>185</v>
      </c>
      <c r="V10" s="27" t="s">
        <v>215</v>
      </c>
    </row>
    <row r="11" spans="1:22" x14ac:dyDescent="0.25">
      <c r="A11" s="31" t="str">
        <f t="shared" si="0"/>
        <v>./specbzip/l1d.32kB_l1i.32kB</v>
      </c>
      <c r="B11" s="32">
        <v>0.74404700000000001</v>
      </c>
      <c r="C11" s="32">
        <v>0.128413</v>
      </c>
      <c r="D11" s="32">
        <v>0.17277699999999999</v>
      </c>
      <c r="E11" s="32">
        <v>150.74102099999999</v>
      </c>
      <c r="F11" s="32" t="s">
        <v>185</v>
      </c>
      <c r="G11" s="32" t="s">
        <v>191</v>
      </c>
      <c r="H11" s="32">
        <v>64</v>
      </c>
      <c r="I11" s="32">
        <v>1</v>
      </c>
      <c r="J11" s="32">
        <v>32</v>
      </c>
      <c r="K11" s="32">
        <v>32</v>
      </c>
      <c r="L11" s="32">
        <v>1</v>
      </c>
      <c r="M11" s="32">
        <v>1</v>
      </c>
      <c r="N11" s="32">
        <v>2</v>
      </c>
      <c r="O11" s="32">
        <v>512</v>
      </c>
      <c r="P11" s="33">
        <f t="shared" si="1"/>
        <v>6.6338943000790751</v>
      </c>
      <c r="U11" s="27" t="s">
        <v>185</v>
      </c>
      <c r="V11" s="27" t="s">
        <v>216</v>
      </c>
    </row>
    <row r="12" spans="1:22" x14ac:dyDescent="0.25">
      <c r="A12" s="31" t="str">
        <f t="shared" si="0"/>
        <v>./specbzip/l1i_assoc.4</v>
      </c>
      <c r="B12" s="32">
        <v>0.87417199999999995</v>
      </c>
      <c r="C12" s="32">
        <v>0.128412</v>
      </c>
      <c r="D12" s="32">
        <v>0.17277899999999999</v>
      </c>
      <c r="E12" s="32">
        <v>173.225461</v>
      </c>
      <c r="F12" s="32" t="s">
        <v>185</v>
      </c>
      <c r="G12" s="32" t="s">
        <v>193</v>
      </c>
      <c r="H12" s="32">
        <v>64</v>
      </c>
      <c r="I12" s="32">
        <v>1</v>
      </c>
      <c r="J12" s="32">
        <v>32</v>
      </c>
      <c r="K12" s="32">
        <v>32</v>
      </c>
      <c r="L12" s="32">
        <v>1</v>
      </c>
      <c r="M12" s="32">
        <v>4</v>
      </c>
      <c r="N12" s="32">
        <v>2</v>
      </c>
      <c r="O12" s="32">
        <v>512</v>
      </c>
      <c r="P12" s="33">
        <f t="shared" si="1"/>
        <v>5.7728234303847517</v>
      </c>
      <c r="U12" s="27" t="s">
        <v>185</v>
      </c>
      <c r="V12" s="27" t="s">
        <v>217</v>
      </c>
    </row>
    <row r="13" spans="1:22" x14ac:dyDescent="0.25">
      <c r="A13" s="31" t="str">
        <f t="shared" si="0"/>
        <v>./specbzip/l1d.128kB_l1i.16kB</v>
      </c>
      <c r="B13" s="32">
        <v>1.4214199999999999</v>
      </c>
      <c r="C13" s="32">
        <v>0.43801600000000002</v>
      </c>
      <c r="D13" s="32">
        <v>0.16573599999999999</v>
      </c>
      <c r="E13" s="32">
        <v>308.17548499999998</v>
      </c>
      <c r="F13" s="32" t="s">
        <v>185</v>
      </c>
      <c r="G13" s="32" t="s">
        <v>191</v>
      </c>
      <c r="H13" s="32">
        <v>64</v>
      </c>
      <c r="I13" s="32">
        <v>1</v>
      </c>
      <c r="J13" s="32">
        <v>128</v>
      </c>
      <c r="K13" s="32">
        <v>16</v>
      </c>
      <c r="L13" s="32">
        <v>1</v>
      </c>
      <c r="M13" s="32">
        <v>1</v>
      </c>
      <c r="N13" s="32">
        <v>2</v>
      </c>
      <c r="O13" s="32">
        <v>512</v>
      </c>
      <c r="P13" s="33">
        <f t="shared" si="1"/>
        <v>3.2449044413769643</v>
      </c>
      <c r="U13" s="27" t="s">
        <v>185</v>
      </c>
      <c r="V13" s="27" t="s">
        <v>218</v>
      </c>
    </row>
    <row r="14" spans="1:22" x14ac:dyDescent="0.25">
      <c r="A14" s="31" t="str">
        <f t="shared" si="0"/>
        <v>./specbzip/l1d_assoc.2</v>
      </c>
      <c r="B14" s="32">
        <v>1.1473599999999999</v>
      </c>
      <c r="C14" s="32">
        <v>0.13728399999999999</v>
      </c>
      <c r="D14" s="32">
        <v>0.16883200000000001</v>
      </c>
      <c r="E14" s="32">
        <v>216.889016</v>
      </c>
      <c r="F14" s="32" t="s">
        <v>185</v>
      </c>
      <c r="G14" s="32" t="s">
        <v>192</v>
      </c>
      <c r="H14" s="32">
        <v>64</v>
      </c>
      <c r="I14" s="32">
        <v>1</v>
      </c>
      <c r="J14" s="32">
        <v>32</v>
      </c>
      <c r="K14" s="32">
        <v>32</v>
      </c>
      <c r="L14" s="32">
        <v>2</v>
      </c>
      <c r="M14" s="32">
        <v>1</v>
      </c>
      <c r="N14" s="32">
        <v>2</v>
      </c>
      <c r="O14" s="32">
        <v>512</v>
      </c>
      <c r="P14" s="33">
        <f t="shared" si="1"/>
        <v>4.6106530355599018</v>
      </c>
      <c r="U14" s="27" t="s">
        <v>185</v>
      </c>
      <c r="V14" s="27" t="s">
        <v>219</v>
      </c>
    </row>
    <row r="15" spans="1:22" x14ac:dyDescent="0.25">
      <c r="A15" s="31" t="str">
        <f t="shared" si="0"/>
        <v>./specbzip/l1d.128kB_l1i.128kB</v>
      </c>
      <c r="B15" s="32">
        <v>2.1138300000000001</v>
      </c>
      <c r="C15" s="32">
        <v>0.43807000000000001</v>
      </c>
      <c r="D15" s="32">
        <v>0.16570799999999999</v>
      </c>
      <c r="E15" s="32">
        <v>422.87024500000001</v>
      </c>
      <c r="F15" s="32" t="s">
        <v>185</v>
      </c>
      <c r="G15" s="32" t="s">
        <v>191</v>
      </c>
      <c r="H15" s="32">
        <v>64</v>
      </c>
      <c r="I15" s="32">
        <v>1</v>
      </c>
      <c r="J15" s="32">
        <v>128</v>
      </c>
      <c r="K15" s="32">
        <v>128</v>
      </c>
      <c r="L15" s="32">
        <v>1</v>
      </c>
      <c r="M15" s="32">
        <v>1</v>
      </c>
      <c r="N15" s="32">
        <v>2</v>
      </c>
      <c r="O15" s="32">
        <v>512</v>
      </c>
      <c r="P15" s="33">
        <f t="shared" si="1"/>
        <v>2.364791592276728</v>
      </c>
      <c r="U15" s="27" t="s">
        <v>185</v>
      </c>
      <c r="V15" s="27" t="s">
        <v>220</v>
      </c>
    </row>
    <row r="16" spans="1:22" x14ac:dyDescent="0.25">
      <c r="A16" s="31" t="str">
        <f t="shared" si="0"/>
        <v>./specbzip/l2_size.2MB</v>
      </c>
      <c r="B16" s="32">
        <v>1.15062</v>
      </c>
      <c r="C16" s="32">
        <v>0.138682</v>
      </c>
      <c r="D16" s="32">
        <v>0.16846</v>
      </c>
      <c r="E16" s="32">
        <v>217.19581500000001</v>
      </c>
      <c r="F16" s="32" t="s">
        <v>185</v>
      </c>
      <c r="G16" s="32" t="s">
        <v>184</v>
      </c>
      <c r="H16" s="32">
        <v>64</v>
      </c>
      <c r="I16" s="32">
        <v>1</v>
      </c>
      <c r="J16" s="32">
        <v>32</v>
      </c>
      <c r="K16" s="32">
        <v>32</v>
      </c>
      <c r="L16" s="32">
        <v>1</v>
      </c>
      <c r="M16" s="32">
        <v>1</v>
      </c>
      <c r="N16" s="32">
        <v>2</v>
      </c>
      <c r="O16" s="32">
        <v>2048</v>
      </c>
      <c r="P16" s="33">
        <f t="shared" si="1"/>
        <v>4.6041402777489058</v>
      </c>
      <c r="U16" s="27" t="s">
        <v>185</v>
      </c>
      <c r="V16" s="27" t="s">
        <v>221</v>
      </c>
    </row>
    <row r="17" spans="1:22" x14ac:dyDescent="0.25">
      <c r="A17" s="31" t="str">
        <f t="shared" si="0"/>
        <v>./specbzip/l1d_assoc.1</v>
      </c>
      <c r="B17" s="32">
        <v>1.14703</v>
      </c>
      <c r="C17" s="32">
        <v>0.128417</v>
      </c>
      <c r="D17" s="32">
        <v>0.17277500000000001</v>
      </c>
      <c r="E17" s="32">
        <v>220.36535499999999</v>
      </c>
      <c r="F17" s="32" t="s">
        <v>185</v>
      </c>
      <c r="G17" s="32" t="s">
        <v>192</v>
      </c>
      <c r="H17" s="32">
        <v>64</v>
      </c>
      <c r="I17" s="32">
        <v>1</v>
      </c>
      <c r="J17" s="32">
        <v>32</v>
      </c>
      <c r="K17" s="32">
        <v>32</v>
      </c>
      <c r="L17" s="32">
        <v>1</v>
      </c>
      <c r="M17" s="32">
        <v>1</v>
      </c>
      <c r="N17" s="32">
        <v>2</v>
      </c>
      <c r="O17" s="32">
        <v>512</v>
      </c>
      <c r="P17" s="33">
        <f t="shared" si="1"/>
        <v>4.5379184037345617</v>
      </c>
      <c r="U17" s="27" t="s">
        <v>185</v>
      </c>
      <c r="V17" s="27" t="s">
        <v>222</v>
      </c>
    </row>
    <row r="18" spans="1:22" x14ac:dyDescent="0.25">
      <c r="A18" s="31" t="str">
        <f t="shared" si="0"/>
        <v>./specbzip/l1d.32kB_l1i.16kB</v>
      </c>
      <c r="B18" s="32">
        <v>0.73653299999999999</v>
      </c>
      <c r="C18" s="32">
        <v>0.12842100000000001</v>
      </c>
      <c r="D18" s="32">
        <v>0.172793</v>
      </c>
      <c r="E18" s="32">
        <v>149.45799700000001</v>
      </c>
      <c r="F18" s="32" t="s">
        <v>185</v>
      </c>
      <c r="G18" s="32" t="s">
        <v>191</v>
      </c>
      <c r="H18" s="32">
        <v>64</v>
      </c>
      <c r="I18" s="32">
        <v>1</v>
      </c>
      <c r="J18" s="32">
        <v>32</v>
      </c>
      <c r="K18" s="32">
        <v>16</v>
      </c>
      <c r="L18" s="32">
        <v>1</v>
      </c>
      <c r="M18" s="32">
        <v>1</v>
      </c>
      <c r="N18" s="32">
        <v>2</v>
      </c>
      <c r="O18" s="32">
        <v>512</v>
      </c>
      <c r="P18" s="33">
        <f t="shared" si="1"/>
        <v>6.6908430466922422</v>
      </c>
      <c r="U18" s="27" t="s">
        <v>185</v>
      </c>
      <c r="V18" s="27" t="s">
        <v>223</v>
      </c>
    </row>
    <row r="19" spans="1:22" x14ac:dyDescent="0.25">
      <c r="A19" s="31" t="str">
        <f t="shared" si="0"/>
        <v>./specbzip/l1d.64kB_l1i.32kB</v>
      </c>
      <c r="B19" s="32">
        <v>1.14703</v>
      </c>
      <c r="C19" s="32">
        <v>0.34284199999999998</v>
      </c>
      <c r="D19" s="32">
        <v>0.16935900000000001</v>
      </c>
      <c r="E19" s="32">
        <v>252.32323199999999</v>
      </c>
      <c r="F19" s="32" t="s">
        <v>185</v>
      </c>
      <c r="G19" s="32" t="s">
        <v>191</v>
      </c>
      <c r="H19" s="32">
        <v>64</v>
      </c>
      <c r="I19" s="32">
        <v>1</v>
      </c>
      <c r="J19" s="32">
        <v>64</v>
      </c>
      <c r="K19" s="32">
        <v>32</v>
      </c>
      <c r="L19" s="32">
        <v>1</v>
      </c>
      <c r="M19" s="32">
        <v>1</v>
      </c>
      <c r="N19" s="32">
        <v>2</v>
      </c>
      <c r="O19" s="32">
        <v>512</v>
      </c>
      <c r="P19" s="33">
        <f t="shared" si="1"/>
        <v>3.9631705415060634</v>
      </c>
      <c r="U19" s="27" t="s">
        <v>185</v>
      </c>
      <c r="V19" s="27" t="s">
        <v>224</v>
      </c>
    </row>
    <row r="20" spans="1:22" x14ac:dyDescent="0.25">
      <c r="A20" s="31" t="str">
        <f t="shared" si="0"/>
        <v>./specbzip/l1d.64kB_l1i.16kB</v>
      </c>
      <c r="B20" s="32">
        <v>1.13951</v>
      </c>
      <c r="C20" s="32">
        <v>0.34281099999999998</v>
      </c>
      <c r="D20" s="32">
        <v>0.16938400000000001</v>
      </c>
      <c r="E20" s="32">
        <v>251.08145999999999</v>
      </c>
      <c r="F20" s="32" t="s">
        <v>185</v>
      </c>
      <c r="G20" s="32" t="s">
        <v>191</v>
      </c>
      <c r="H20" s="32">
        <v>64</v>
      </c>
      <c r="I20" s="32">
        <v>1</v>
      </c>
      <c r="J20" s="32">
        <v>64</v>
      </c>
      <c r="K20" s="32">
        <v>16</v>
      </c>
      <c r="L20" s="32">
        <v>1</v>
      </c>
      <c r="M20" s="32">
        <v>1</v>
      </c>
      <c r="N20" s="32">
        <v>2</v>
      </c>
      <c r="O20" s="32">
        <v>512</v>
      </c>
      <c r="P20" s="33">
        <f t="shared" si="1"/>
        <v>3.9827711691655767</v>
      </c>
      <c r="U20" s="27" t="s">
        <v>185</v>
      </c>
      <c r="V20" s="27" t="s">
        <v>225</v>
      </c>
    </row>
    <row r="21" spans="1:22" x14ac:dyDescent="0.25">
      <c r="A21" s="31" t="str">
        <f t="shared" si="0"/>
        <v>./specbzip/l1d.32kB_l1i.128kB</v>
      </c>
      <c r="B21" s="32">
        <v>1.4289400000000001</v>
      </c>
      <c r="C21" s="32">
        <v>0.128417</v>
      </c>
      <c r="D21" s="32">
        <v>0.17277500000000001</v>
      </c>
      <c r="E21" s="32">
        <v>269.07235600000001</v>
      </c>
      <c r="F21" s="32" t="s">
        <v>185</v>
      </c>
      <c r="G21" s="32" t="s">
        <v>191</v>
      </c>
      <c r="H21" s="32">
        <v>64</v>
      </c>
      <c r="I21" s="32">
        <v>1</v>
      </c>
      <c r="J21" s="32">
        <v>32</v>
      </c>
      <c r="K21" s="32">
        <v>128</v>
      </c>
      <c r="L21" s="32">
        <v>1</v>
      </c>
      <c r="M21" s="32">
        <v>1</v>
      </c>
      <c r="N21" s="32">
        <v>2</v>
      </c>
      <c r="O21" s="32">
        <v>512</v>
      </c>
      <c r="P21" s="33">
        <f t="shared" si="1"/>
        <v>3.7164724569476024</v>
      </c>
      <c r="U21" s="27" t="s">
        <v>185</v>
      </c>
      <c r="V21" s="27" t="s">
        <v>226</v>
      </c>
    </row>
    <row r="22" spans="1:22" x14ac:dyDescent="0.25">
      <c r="A22" s="31" t="str">
        <f t="shared" si="0"/>
        <v>./specbzip/l2d_assoc.2</v>
      </c>
      <c r="B22" s="32">
        <v>1.14703</v>
      </c>
      <c r="C22" s="32">
        <v>0.128417</v>
      </c>
      <c r="D22" s="32">
        <v>0.17277500000000001</v>
      </c>
      <c r="E22" s="32">
        <v>220.36535499999999</v>
      </c>
      <c r="F22" s="32" t="s">
        <v>185</v>
      </c>
      <c r="G22" s="32" t="s">
        <v>194</v>
      </c>
      <c r="H22" s="32">
        <v>64</v>
      </c>
      <c r="I22" s="32">
        <v>1</v>
      </c>
      <c r="J22" s="32">
        <v>32</v>
      </c>
      <c r="K22" s="32">
        <v>32</v>
      </c>
      <c r="L22" s="32">
        <v>1</v>
      </c>
      <c r="M22" s="32">
        <v>1</v>
      </c>
      <c r="N22" s="32">
        <v>2</v>
      </c>
      <c r="O22" s="32">
        <v>512</v>
      </c>
      <c r="P22" s="33">
        <f t="shared" si="1"/>
        <v>4.5379184037345617</v>
      </c>
      <c r="U22" s="27" t="s">
        <v>185</v>
      </c>
      <c r="V22" s="27" t="s">
        <v>227</v>
      </c>
    </row>
    <row r="23" spans="1:22" x14ac:dyDescent="0.25">
      <c r="A23" s="31" t="str">
        <f t="shared" si="0"/>
        <v>./specbzip/l1d_assoc.4</v>
      </c>
      <c r="B23" s="32">
        <v>1.22661</v>
      </c>
      <c r="C23" s="32">
        <v>0.27309</v>
      </c>
      <c r="D23" s="32">
        <v>0.16750599999999999</v>
      </c>
      <c r="E23" s="32">
        <v>251.20874800000001</v>
      </c>
      <c r="F23" s="32" t="s">
        <v>185</v>
      </c>
      <c r="G23" s="32" t="s">
        <v>192</v>
      </c>
      <c r="H23" s="32">
        <v>64</v>
      </c>
      <c r="I23" s="32">
        <v>1</v>
      </c>
      <c r="J23" s="32">
        <v>32</v>
      </c>
      <c r="K23" s="32">
        <v>32</v>
      </c>
      <c r="L23" s="32">
        <v>4</v>
      </c>
      <c r="M23" s="32">
        <v>1</v>
      </c>
      <c r="N23" s="32">
        <v>2</v>
      </c>
      <c r="O23" s="32">
        <v>512</v>
      </c>
      <c r="P23" s="33">
        <f t="shared" si="1"/>
        <v>3.9807530906527191</v>
      </c>
      <c r="U23" s="27" t="s">
        <v>185</v>
      </c>
      <c r="V23" s="27" t="s">
        <v>228</v>
      </c>
    </row>
    <row r="24" spans="1:22" x14ac:dyDescent="0.25">
      <c r="A24" s="31" t="str">
        <f t="shared" si="0"/>
        <v>./specbzip/cacheline.128</v>
      </c>
      <c r="B24" s="32">
        <v>1.1059399999999999</v>
      </c>
      <c r="C24" s="32">
        <v>0.228792</v>
      </c>
      <c r="D24" s="32">
        <v>0.173092</v>
      </c>
      <c r="E24" s="32">
        <v>231.031431</v>
      </c>
      <c r="F24" s="32" t="s">
        <v>185</v>
      </c>
      <c r="G24" s="32" t="s">
        <v>190</v>
      </c>
      <c r="H24" s="32">
        <v>128</v>
      </c>
      <c r="I24" s="32">
        <v>1</v>
      </c>
      <c r="J24" s="32">
        <v>32</v>
      </c>
      <c r="K24" s="32">
        <v>32</v>
      </c>
      <c r="L24" s="32">
        <v>1</v>
      </c>
      <c r="M24" s="32">
        <v>1</v>
      </c>
      <c r="N24" s="32">
        <v>2</v>
      </c>
      <c r="O24" s="32">
        <v>512</v>
      </c>
      <c r="P24" s="33">
        <f t="shared" si="1"/>
        <v>4.3284153834462469</v>
      </c>
      <c r="U24" s="27" t="s">
        <v>185</v>
      </c>
      <c r="V24" s="27" t="s">
        <v>229</v>
      </c>
    </row>
    <row r="25" spans="1:22" x14ac:dyDescent="0.25">
      <c r="A25" s="31" t="str">
        <f t="shared" si="0"/>
        <v>./specbzip/l1d.16kB_l1i.16kB</v>
      </c>
      <c r="B25" s="32">
        <v>0.72901800000000005</v>
      </c>
      <c r="C25" s="32">
        <v>0.12597900000000001</v>
      </c>
      <c r="D25" s="32">
        <v>0.17737800000000001</v>
      </c>
      <c r="E25" s="32">
        <v>151.657658</v>
      </c>
      <c r="F25" s="32" t="s">
        <v>185</v>
      </c>
      <c r="G25" s="32" t="s">
        <v>191</v>
      </c>
      <c r="H25" s="32">
        <v>64</v>
      </c>
      <c r="I25" s="32">
        <v>1</v>
      </c>
      <c r="J25" s="32">
        <v>16</v>
      </c>
      <c r="K25" s="32">
        <v>16</v>
      </c>
      <c r="L25" s="32">
        <v>1</v>
      </c>
      <c r="M25" s="32">
        <v>1</v>
      </c>
      <c r="N25" s="32">
        <v>2</v>
      </c>
      <c r="O25" s="32">
        <v>512</v>
      </c>
      <c r="P25" s="33">
        <f t="shared" si="1"/>
        <v>6.5937982505308108</v>
      </c>
      <c r="U25" s="27" t="s">
        <v>185</v>
      </c>
      <c r="V25" s="27" t="s">
        <v>230</v>
      </c>
    </row>
    <row r="26" spans="1:22" x14ac:dyDescent="0.25">
      <c r="A26" s="31" t="str">
        <f t="shared" si="0"/>
        <v>./specbzip/l2_size.512kB</v>
      </c>
      <c r="B26" s="32">
        <v>1.14703</v>
      </c>
      <c r="C26" s="32">
        <v>0.128417</v>
      </c>
      <c r="D26" s="32">
        <v>0.17277500000000001</v>
      </c>
      <c r="E26" s="32">
        <v>220.36535499999999</v>
      </c>
      <c r="F26" s="32" t="s">
        <v>185</v>
      </c>
      <c r="G26" s="32" t="s">
        <v>184</v>
      </c>
      <c r="H26" s="32">
        <v>64</v>
      </c>
      <c r="I26" s="32">
        <v>1</v>
      </c>
      <c r="J26" s="32">
        <v>32</v>
      </c>
      <c r="K26" s="32">
        <v>32</v>
      </c>
      <c r="L26" s="32">
        <v>1</v>
      </c>
      <c r="M26" s="32">
        <v>1</v>
      </c>
      <c r="N26" s="32">
        <v>2</v>
      </c>
      <c r="O26" s="32">
        <v>512</v>
      </c>
      <c r="P26" s="33">
        <f t="shared" si="1"/>
        <v>4.5379184037345617</v>
      </c>
      <c r="U26" s="27" t="s">
        <v>185</v>
      </c>
      <c r="V26" s="27" t="s">
        <v>231</v>
      </c>
    </row>
    <row r="27" spans="1:22" x14ac:dyDescent="0.25">
      <c r="A27" s="31" t="str">
        <f t="shared" si="0"/>
        <v>./specbzip/cacheline.64</v>
      </c>
      <c r="B27" s="32">
        <v>1.14703</v>
      </c>
      <c r="C27" s="32">
        <v>0.128417</v>
      </c>
      <c r="D27" s="32">
        <v>0.17277500000000001</v>
      </c>
      <c r="E27" s="32">
        <v>220.36535499999999</v>
      </c>
      <c r="F27" s="32" t="s">
        <v>185</v>
      </c>
      <c r="G27" s="32" t="s">
        <v>190</v>
      </c>
      <c r="H27" s="32">
        <v>64</v>
      </c>
      <c r="I27" s="32">
        <v>1</v>
      </c>
      <c r="J27" s="32">
        <v>32</v>
      </c>
      <c r="K27" s="32">
        <v>32</v>
      </c>
      <c r="L27" s="32">
        <v>1</v>
      </c>
      <c r="M27" s="32">
        <v>1</v>
      </c>
      <c r="N27" s="32">
        <v>2</v>
      </c>
      <c r="O27" s="32">
        <v>512</v>
      </c>
      <c r="P27" s="33">
        <f t="shared" si="1"/>
        <v>4.5379184037345617</v>
      </c>
      <c r="U27" s="27" t="s">
        <v>185</v>
      </c>
      <c r="V27" s="27" t="s">
        <v>232</v>
      </c>
    </row>
    <row r="28" spans="1:22" x14ac:dyDescent="0.25">
      <c r="A28" s="31" t="str">
        <f t="shared" si="0"/>
        <v>./specbzip/l1d.128kB_l1i.32kB</v>
      </c>
      <c r="B28" s="32">
        <v>1.4289400000000001</v>
      </c>
      <c r="C28" s="32">
        <v>0.43804900000000002</v>
      </c>
      <c r="D28" s="32">
        <v>0.165716</v>
      </c>
      <c r="E28" s="32">
        <v>309.389949</v>
      </c>
      <c r="F28" s="32" t="s">
        <v>185</v>
      </c>
      <c r="G28" s="32" t="s">
        <v>191</v>
      </c>
      <c r="H28" s="32">
        <v>64</v>
      </c>
      <c r="I28" s="32">
        <v>1</v>
      </c>
      <c r="J28" s="32">
        <v>128</v>
      </c>
      <c r="K28" s="32">
        <v>32</v>
      </c>
      <c r="L28" s="32">
        <v>1</v>
      </c>
      <c r="M28" s="32">
        <v>1</v>
      </c>
      <c r="N28" s="32">
        <v>2</v>
      </c>
      <c r="O28" s="32">
        <v>512</v>
      </c>
      <c r="P28" s="33">
        <f t="shared" si="1"/>
        <v>3.2321670540111826</v>
      </c>
      <c r="U28" s="27" t="s">
        <v>185</v>
      </c>
      <c r="V28" s="27" t="s">
        <v>233</v>
      </c>
    </row>
    <row r="29" spans="1:22" x14ac:dyDescent="0.25">
      <c r="A29" s="31" t="str">
        <f t="shared" si="0"/>
        <v>./specbzip/l1d.16kB_l1i.64kB</v>
      </c>
      <c r="B29" s="32">
        <v>1.13951</v>
      </c>
      <c r="C29" s="32">
        <v>0.125973</v>
      </c>
      <c r="D29" s="32">
        <v>0.17736199999999999</v>
      </c>
      <c r="E29" s="32">
        <v>224.44859600000001</v>
      </c>
      <c r="F29" s="32" t="s">
        <v>185</v>
      </c>
      <c r="G29" s="32" t="s">
        <v>191</v>
      </c>
      <c r="H29" s="32">
        <v>64</v>
      </c>
      <c r="I29" s="32">
        <v>1</v>
      </c>
      <c r="J29" s="32">
        <v>16</v>
      </c>
      <c r="K29" s="32">
        <v>64</v>
      </c>
      <c r="L29" s="32">
        <v>1</v>
      </c>
      <c r="M29" s="32">
        <v>1</v>
      </c>
      <c r="N29" s="32">
        <v>2</v>
      </c>
      <c r="O29" s="32">
        <v>512</v>
      </c>
      <c r="P29" s="33">
        <f t="shared" si="1"/>
        <v>4.4553631335702359</v>
      </c>
      <c r="U29" s="27" t="s">
        <v>185</v>
      </c>
      <c r="V29" s="27" t="s">
        <v>234</v>
      </c>
    </row>
    <row r="30" spans="1:22" x14ac:dyDescent="0.25">
      <c r="A30" s="31" t="str">
        <f t="shared" si="0"/>
        <v>./specbzip/cacheline.32</v>
      </c>
      <c r="B30" s="32">
        <v>0.84024299999999996</v>
      </c>
      <c r="C30" s="32">
        <v>0.11261500000000001</v>
      </c>
      <c r="D30" s="32">
        <v>0.18363699999999999</v>
      </c>
      <c r="E30" s="32">
        <v>174.979985</v>
      </c>
      <c r="F30" s="32" t="s">
        <v>185</v>
      </c>
      <c r="G30" s="32" t="s">
        <v>190</v>
      </c>
      <c r="H30" s="32">
        <v>32</v>
      </c>
      <c r="I30" s="32">
        <v>1</v>
      </c>
      <c r="J30" s="32">
        <v>32</v>
      </c>
      <c r="K30" s="32">
        <v>32</v>
      </c>
      <c r="L30" s="32">
        <v>1</v>
      </c>
      <c r="M30" s="32">
        <v>1</v>
      </c>
      <c r="N30" s="32">
        <v>2</v>
      </c>
      <c r="O30" s="32">
        <v>512</v>
      </c>
      <c r="P30" s="33">
        <f t="shared" si="1"/>
        <v>5.7149393400622364</v>
      </c>
      <c r="U30" s="27" t="s">
        <v>185</v>
      </c>
      <c r="V30" s="27" t="s">
        <v>235</v>
      </c>
    </row>
    <row r="31" spans="1:22" x14ac:dyDescent="0.25">
      <c r="A31" s="31" t="str">
        <f t="shared" si="0"/>
        <v>./specbzip/l1d.64kB_l1i.64kB</v>
      </c>
      <c r="B31" s="32">
        <v>1.55</v>
      </c>
      <c r="C31" s="32">
        <v>0.34282499999999999</v>
      </c>
      <c r="D31" s="32">
        <v>0.16936899999999999</v>
      </c>
      <c r="E31" s="32">
        <v>320.58587699999998</v>
      </c>
      <c r="F31" s="32" t="s">
        <v>185</v>
      </c>
      <c r="G31" s="32" t="s">
        <v>191</v>
      </c>
      <c r="H31" s="32">
        <v>64</v>
      </c>
      <c r="I31" s="32">
        <v>1</v>
      </c>
      <c r="J31" s="32">
        <v>64</v>
      </c>
      <c r="K31" s="32">
        <v>64</v>
      </c>
      <c r="L31" s="32">
        <v>1</v>
      </c>
      <c r="M31" s="32">
        <v>1</v>
      </c>
      <c r="N31" s="32">
        <v>2</v>
      </c>
      <c r="O31" s="32">
        <v>512</v>
      </c>
      <c r="P31" s="33">
        <f t="shared" si="1"/>
        <v>3.1192890009936405</v>
      </c>
      <c r="U31" s="27" t="s">
        <v>185</v>
      </c>
      <c r="V31" s="27" t="s">
        <v>236</v>
      </c>
    </row>
    <row r="32" spans="1:22" x14ac:dyDescent="0.25">
      <c r="A32" s="31" t="str">
        <f t="shared" si="0"/>
        <v>./specbzip/l1d.128kB_l1i.64kB</v>
      </c>
      <c r="B32" s="32">
        <v>1.83192</v>
      </c>
      <c r="C32" s="32">
        <v>0.43806899999999999</v>
      </c>
      <c r="D32" s="32">
        <v>0.16570799999999999</v>
      </c>
      <c r="E32" s="32">
        <v>376.15533699999997</v>
      </c>
      <c r="F32" s="32" t="s">
        <v>185</v>
      </c>
      <c r="G32" s="32" t="s">
        <v>191</v>
      </c>
      <c r="H32" s="32">
        <v>64</v>
      </c>
      <c r="I32" s="32">
        <v>1</v>
      </c>
      <c r="J32" s="32">
        <v>128</v>
      </c>
      <c r="K32" s="32">
        <v>64</v>
      </c>
      <c r="L32" s="32">
        <v>1</v>
      </c>
      <c r="M32" s="32">
        <v>1</v>
      </c>
      <c r="N32" s="32">
        <v>2</v>
      </c>
      <c r="O32" s="32">
        <v>512</v>
      </c>
      <c r="P32" s="33">
        <f t="shared" si="1"/>
        <v>2.6584761709761415</v>
      </c>
      <c r="U32" s="27" t="s">
        <v>185</v>
      </c>
      <c r="V32" s="27" t="s">
        <v>237</v>
      </c>
    </row>
    <row r="33" spans="1:22" x14ac:dyDescent="0.25">
      <c r="A33" s="31" t="str">
        <f t="shared" si="0"/>
        <v>./specbzip/l2_size.1MB</v>
      </c>
      <c r="B33" s="32">
        <v>1.14855</v>
      </c>
      <c r="C33" s="32">
        <v>0.13248099999999999</v>
      </c>
      <c r="D33" s="32">
        <v>0.17011599999999999</v>
      </c>
      <c r="E33" s="32">
        <v>217.92386999999999</v>
      </c>
      <c r="F33" s="32" t="s">
        <v>185</v>
      </c>
      <c r="G33" s="32" t="s">
        <v>184</v>
      </c>
      <c r="H33" s="32">
        <v>64</v>
      </c>
      <c r="I33" s="32">
        <v>1</v>
      </c>
      <c r="J33" s="32">
        <v>32</v>
      </c>
      <c r="K33" s="32">
        <v>32</v>
      </c>
      <c r="L33" s="32">
        <v>1</v>
      </c>
      <c r="M33" s="32">
        <v>1</v>
      </c>
      <c r="N33" s="32">
        <v>2</v>
      </c>
      <c r="O33" s="32">
        <v>1024</v>
      </c>
      <c r="P33" s="33">
        <f t="shared" si="1"/>
        <v>4.588758450370765</v>
      </c>
      <c r="U33" s="27" t="s">
        <v>185</v>
      </c>
      <c r="V33" s="27" t="s">
        <v>238</v>
      </c>
    </row>
    <row r="34" spans="1:22" x14ac:dyDescent="0.25">
      <c r="A34" s="31" t="str">
        <f t="shared" si="0"/>
        <v>./specbzip/l1d.16kB_l1i.128kB</v>
      </c>
      <c r="B34" s="32">
        <v>1.4214199999999999</v>
      </c>
      <c r="C34" s="32">
        <v>0.12597900000000001</v>
      </c>
      <c r="D34" s="32">
        <v>0.17735300000000001</v>
      </c>
      <c r="E34" s="32">
        <v>274.435855</v>
      </c>
      <c r="F34" s="32" t="s">
        <v>185</v>
      </c>
      <c r="G34" s="32" t="s">
        <v>191</v>
      </c>
      <c r="H34" s="32">
        <v>64</v>
      </c>
      <c r="I34" s="32">
        <v>1</v>
      </c>
      <c r="J34" s="32">
        <v>16</v>
      </c>
      <c r="K34" s="32">
        <v>128</v>
      </c>
      <c r="L34" s="32">
        <v>1</v>
      </c>
      <c r="M34" s="32">
        <v>1</v>
      </c>
      <c r="N34" s="32">
        <v>2</v>
      </c>
      <c r="O34" s="32">
        <v>512</v>
      </c>
      <c r="P34" s="33">
        <f t="shared" si="1"/>
        <v>3.6438387396573964</v>
      </c>
      <c r="U34" s="27" t="s">
        <v>185</v>
      </c>
      <c r="V34" s="27" t="s">
        <v>239</v>
      </c>
    </row>
    <row r="35" spans="1:22" ht="15.75" thickBot="1" x14ac:dyDescent="0.3">
      <c r="A35" s="34" t="str">
        <f t="shared" si="0"/>
        <v>./specbzip/l2_size.4MB</v>
      </c>
      <c r="B35" s="35">
        <v>1.1553500000000001</v>
      </c>
      <c r="C35" s="35">
        <v>0.14599899999999999</v>
      </c>
      <c r="D35" s="35">
        <v>0.166682</v>
      </c>
      <c r="E35" s="35">
        <v>216.91145399999999</v>
      </c>
      <c r="F35" s="35" t="s">
        <v>185</v>
      </c>
      <c r="G35" s="35" t="s">
        <v>184</v>
      </c>
      <c r="H35" s="35">
        <v>64</v>
      </c>
      <c r="I35" s="35">
        <v>1</v>
      </c>
      <c r="J35" s="35">
        <v>32</v>
      </c>
      <c r="K35" s="35">
        <v>32</v>
      </c>
      <c r="L35" s="35">
        <v>1</v>
      </c>
      <c r="M35" s="35">
        <v>1</v>
      </c>
      <c r="N35" s="35">
        <v>2</v>
      </c>
      <c r="O35" s="35">
        <v>4096</v>
      </c>
      <c r="P35" s="36">
        <f t="shared" si="1"/>
        <v>4.6101760951729176</v>
      </c>
      <c r="U35" s="27" t="s">
        <v>185</v>
      </c>
      <c r="V35" s="27" t="s">
        <v>240</v>
      </c>
    </row>
    <row r="36" spans="1:22" x14ac:dyDescent="0.25">
      <c r="A36" s="28" t="str">
        <f t="shared" si="0"/>
        <v>./spechmmer/l2_size.256kB</v>
      </c>
      <c r="B36" s="29">
        <v>1.1464399999999999</v>
      </c>
      <c r="C36" s="29">
        <v>8.7482000000000004E-2</v>
      </c>
      <c r="D36" s="29">
        <v>5.8999999999999998E-5</v>
      </c>
      <c r="E36" s="29">
        <v>7.2801000000000005E-2</v>
      </c>
      <c r="F36" s="29" t="s">
        <v>186</v>
      </c>
      <c r="G36" s="29" t="s">
        <v>184</v>
      </c>
      <c r="H36" s="29">
        <v>64</v>
      </c>
      <c r="I36" s="29">
        <v>1</v>
      </c>
      <c r="J36" s="29">
        <v>32</v>
      </c>
      <c r="K36" s="29">
        <v>32</v>
      </c>
      <c r="L36" s="29">
        <v>1</v>
      </c>
      <c r="M36" s="29">
        <v>1</v>
      </c>
      <c r="N36" s="29">
        <v>2</v>
      </c>
      <c r="O36" s="29">
        <v>256</v>
      </c>
      <c r="P36" s="30">
        <f t="shared" si="1"/>
        <v>13736.075053914094</v>
      </c>
      <c r="U36" s="27" t="s">
        <v>186</v>
      </c>
      <c r="V36" s="27" t="s">
        <v>207</v>
      </c>
    </row>
    <row r="37" spans="1:22" x14ac:dyDescent="0.25">
      <c r="A37" s="31" t="str">
        <f t="shared" si="0"/>
        <v>./spechmmer/l2d_assoc.4</v>
      </c>
      <c r="B37" s="32">
        <v>1.14703</v>
      </c>
      <c r="C37" s="32">
        <v>8.7862999999999997E-2</v>
      </c>
      <c r="D37" s="32">
        <v>5.8999999999999998E-5</v>
      </c>
      <c r="E37" s="32">
        <v>7.2858999999999993E-2</v>
      </c>
      <c r="F37" s="32" t="s">
        <v>186</v>
      </c>
      <c r="G37" s="32" t="s">
        <v>194</v>
      </c>
      <c r="H37" s="32">
        <v>64</v>
      </c>
      <c r="I37" s="32">
        <v>1</v>
      </c>
      <c r="J37" s="32">
        <v>32</v>
      </c>
      <c r="K37" s="32">
        <v>32</v>
      </c>
      <c r="L37" s="32">
        <v>1</v>
      </c>
      <c r="M37" s="32">
        <v>1</v>
      </c>
      <c r="N37" s="32">
        <v>4</v>
      </c>
      <c r="O37" s="32">
        <v>512</v>
      </c>
      <c r="P37" s="33">
        <f t="shared" si="1"/>
        <v>13725.140339559972</v>
      </c>
      <c r="U37" s="27" t="s">
        <v>186</v>
      </c>
      <c r="V37" s="27" t="s">
        <v>208</v>
      </c>
    </row>
    <row r="38" spans="1:22" x14ac:dyDescent="0.25">
      <c r="A38" s="31" t="str">
        <f t="shared" si="0"/>
        <v>./spechmmer/l1i_assoc.2</v>
      </c>
      <c r="B38" s="32">
        <v>1.14927</v>
      </c>
      <c r="C38" s="32">
        <v>8.77E-2</v>
      </c>
      <c r="D38" s="32">
        <v>5.8999999999999998E-5</v>
      </c>
      <c r="E38" s="32">
        <v>7.2981000000000004E-2</v>
      </c>
      <c r="F38" s="32" t="s">
        <v>186</v>
      </c>
      <c r="G38" s="32" t="s">
        <v>193</v>
      </c>
      <c r="H38" s="32">
        <v>64</v>
      </c>
      <c r="I38" s="32">
        <v>1</v>
      </c>
      <c r="J38" s="32">
        <v>32</v>
      </c>
      <c r="K38" s="32">
        <v>32</v>
      </c>
      <c r="L38" s="32">
        <v>1</v>
      </c>
      <c r="M38" s="32">
        <v>2</v>
      </c>
      <c r="N38" s="32">
        <v>2</v>
      </c>
      <c r="O38" s="32">
        <v>512</v>
      </c>
      <c r="P38" s="33">
        <f t="shared" si="1"/>
        <v>13702.196462092874</v>
      </c>
      <c r="U38" s="27" t="s">
        <v>186</v>
      </c>
      <c r="V38" s="27" t="s">
        <v>209</v>
      </c>
    </row>
    <row r="39" spans="1:22" x14ac:dyDescent="0.25">
      <c r="A39" s="31" t="str">
        <f t="shared" si="0"/>
        <v>./spechmmer/l1d.64kB_l1i.128kB</v>
      </c>
      <c r="B39" s="32">
        <v>1.83192</v>
      </c>
      <c r="C39" s="32">
        <v>0.14600099999999999</v>
      </c>
      <c r="D39" s="32">
        <v>5.8E-5</v>
      </c>
      <c r="E39" s="32">
        <v>0.114719</v>
      </c>
      <c r="F39" s="32" t="s">
        <v>186</v>
      </c>
      <c r="G39" s="32" t="s">
        <v>191</v>
      </c>
      <c r="H39" s="32">
        <v>64</v>
      </c>
      <c r="I39" s="32">
        <v>1</v>
      </c>
      <c r="J39" s="32">
        <v>64</v>
      </c>
      <c r="K39" s="32">
        <v>128</v>
      </c>
      <c r="L39" s="32">
        <v>1</v>
      </c>
      <c r="M39" s="32">
        <v>1</v>
      </c>
      <c r="N39" s="32">
        <v>2</v>
      </c>
      <c r="O39" s="32">
        <v>512</v>
      </c>
      <c r="P39" s="33">
        <f t="shared" si="1"/>
        <v>8716.9518562748981</v>
      </c>
      <c r="U39" s="27" t="s">
        <v>186</v>
      </c>
      <c r="V39" s="27" t="s">
        <v>210</v>
      </c>
    </row>
    <row r="40" spans="1:22" x14ac:dyDescent="0.25">
      <c r="A40" s="31" t="str">
        <f t="shared" si="0"/>
        <v>./spechmmer/l1d.16kB_l1i.32kB</v>
      </c>
      <c r="B40" s="32">
        <v>0.73653299999999999</v>
      </c>
      <c r="C40" s="32">
        <v>8.3642999999999995E-2</v>
      </c>
      <c r="D40" s="32">
        <v>6.0999999999999999E-5</v>
      </c>
      <c r="E40" s="32">
        <v>5.0030999999999999E-2</v>
      </c>
      <c r="F40" s="32" t="s">
        <v>186</v>
      </c>
      <c r="G40" s="32" t="s">
        <v>191</v>
      </c>
      <c r="H40" s="32">
        <v>64</v>
      </c>
      <c r="I40" s="32">
        <v>1</v>
      </c>
      <c r="J40" s="32">
        <v>16</v>
      </c>
      <c r="K40" s="32">
        <v>32</v>
      </c>
      <c r="L40" s="32">
        <v>1</v>
      </c>
      <c r="M40" s="32">
        <v>1</v>
      </c>
      <c r="N40" s="32">
        <v>2</v>
      </c>
      <c r="O40" s="32">
        <v>512</v>
      </c>
      <c r="P40" s="33">
        <f t="shared" si="1"/>
        <v>19987.607683236394</v>
      </c>
      <c r="U40" s="27" t="s">
        <v>186</v>
      </c>
      <c r="V40" s="27" t="s">
        <v>211</v>
      </c>
    </row>
    <row r="41" spans="1:22" x14ac:dyDescent="0.25">
      <c r="A41" s="31" t="str">
        <f t="shared" si="0"/>
        <v>./spechmmer/cpu_clock.1GHz</v>
      </c>
      <c r="B41" s="32">
        <v>1.14703</v>
      </c>
      <c r="C41" s="32">
        <v>8.7855000000000003E-2</v>
      </c>
      <c r="D41" s="32">
        <v>5.8999999999999998E-5</v>
      </c>
      <c r="E41" s="32">
        <v>7.2858000000000006E-2</v>
      </c>
      <c r="F41" s="32" t="s">
        <v>186</v>
      </c>
      <c r="G41" s="32" t="s">
        <v>195</v>
      </c>
      <c r="H41" s="32">
        <v>64</v>
      </c>
      <c r="I41" s="32">
        <v>1</v>
      </c>
      <c r="J41" s="32">
        <v>32</v>
      </c>
      <c r="K41" s="32">
        <v>32</v>
      </c>
      <c r="L41" s="32">
        <v>1</v>
      </c>
      <c r="M41" s="32">
        <v>1</v>
      </c>
      <c r="N41" s="32">
        <v>2</v>
      </c>
      <c r="O41" s="32">
        <v>512</v>
      </c>
      <c r="P41" s="33">
        <f t="shared" si="1"/>
        <v>13725.328721622882</v>
      </c>
      <c r="U41" s="27" t="s">
        <v>186</v>
      </c>
      <c r="V41" s="27" t="s">
        <v>212</v>
      </c>
    </row>
    <row r="42" spans="1:22" x14ac:dyDescent="0.25">
      <c r="A42" s="31" t="str">
        <f t="shared" si="0"/>
        <v>./spechmmer/l1d.32kB_l1i.64kB</v>
      </c>
      <c r="B42" s="32">
        <v>1.14703</v>
      </c>
      <c r="C42" s="32">
        <v>8.7855000000000003E-2</v>
      </c>
      <c r="D42" s="32">
        <v>5.8999999999999998E-5</v>
      </c>
      <c r="E42" s="32">
        <v>7.2858000000000006E-2</v>
      </c>
      <c r="F42" s="32" t="s">
        <v>186</v>
      </c>
      <c r="G42" s="32" t="s">
        <v>191</v>
      </c>
      <c r="H42" s="32">
        <v>64</v>
      </c>
      <c r="I42" s="32">
        <v>1</v>
      </c>
      <c r="J42" s="32">
        <v>32</v>
      </c>
      <c r="K42" s="32">
        <v>64</v>
      </c>
      <c r="L42" s="32">
        <v>1</v>
      </c>
      <c r="M42" s="32">
        <v>1</v>
      </c>
      <c r="N42" s="32">
        <v>2</v>
      </c>
      <c r="O42" s="32">
        <v>512</v>
      </c>
      <c r="P42" s="33">
        <f t="shared" si="1"/>
        <v>13725.328721622882</v>
      </c>
      <c r="U42" s="27" t="s">
        <v>186</v>
      </c>
      <c r="V42" s="27" t="s">
        <v>213</v>
      </c>
    </row>
    <row r="43" spans="1:22" x14ac:dyDescent="0.25">
      <c r="A43" s="31" t="str">
        <f t="shared" si="0"/>
        <v>./spechmmer/l2d_assoc.1</v>
      </c>
      <c r="B43" s="32">
        <v>1.1470199999999999</v>
      </c>
      <c r="C43" s="32">
        <v>8.7855000000000003E-2</v>
      </c>
      <c r="D43" s="32">
        <v>5.8999999999999998E-5</v>
      </c>
      <c r="E43" s="32">
        <v>7.2858000000000006E-2</v>
      </c>
      <c r="F43" s="32" t="s">
        <v>186</v>
      </c>
      <c r="G43" s="32" t="s">
        <v>194</v>
      </c>
      <c r="H43" s="32">
        <v>64</v>
      </c>
      <c r="I43" s="32">
        <v>1</v>
      </c>
      <c r="J43" s="32">
        <v>32</v>
      </c>
      <c r="K43" s="32">
        <v>32</v>
      </c>
      <c r="L43" s="32">
        <v>1</v>
      </c>
      <c r="M43" s="32">
        <v>1</v>
      </c>
      <c r="N43" s="32">
        <v>1</v>
      </c>
      <c r="O43" s="32">
        <v>512</v>
      </c>
      <c r="P43" s="33">
        <f t="shared" si="1"/>
        <v>13725.328721622882</v>
      </c>
      <c r="U43" s="27" t="s">
        <v>186</v>
      </c>
      <c r="V43" s="27" t="s">
        <v>214</v>
      </c>
    </row>
    <row r="44" spans="1:22" x14ac:dyDescent="0.25">
      <c r="A44" s="31" t="str">
        <f t="shared" si="0"/>
        <v>./spechmmer/l1i_assoc.1</v>
      </c>
      <c r="B44" s="32">
        <v>1.14703</v>
      </c>
      <c r="C44" s="32">
        <v>8.7855000000000003E-2</v>
      </c>
      <c r="D44" s="32">
        <v>5.8999999999999998E-5</v>
      </c>
      <c r="E44" s="32">
        <v>7.2858000000000006E-2</v>
      </c>
      <c r="F44" s="32" t="s">
        <v>186</v>
      </c>
      <c r="G44" s="32" t="s">
        <v>193</v>
      </c>
      <c r="H44" s="32">
        <v>64</v>
      </c>
      <c r="I44" s="32">
        <v>1</v>
      </c>
      <c r="J44" s="32">
        <v>32</v>
      </c>
      <c r="K44" s="32">
        <v>32</v>
      </c>
      <c r="L44" s="32">
        <v>1</v>
      </c>
      <c r="M44" s="32">
        <v>1</v>
      </c>
      <c r="N44" s="32">
        <v>2</v>
      </c>
      <c r="O44" s="32">
        <v>512</v>
      </c>
      <c r="P44" s="33">
        <f t="shared" si="1"/>
        <v>13725.328721622882</v>
      </c>
      <c r="U44" s="27" t="s">
        <v>186</v>
      </c>
      <c r="V44" s="27" t="s">
        <v>215</v>
      </c>
    </row>
    <row r="45" spans="1:22" x14ac:dyDescent="0.25">
      <c r="A45" s="31" t="str">
        <f t="shared" si="0"/>
        <v>./spechmmer/l1d.32kB_l1i.32kB</v>
      </c>
      <c r="B45" s="32">
        <v>0.74404700000000001</v>
      </c>
      <c r="C45" s="32">
        <v>8.4010000000000001E-2</v>
      </c>
      <c r="D45" s="32">
        <v>6.0000000000000002E-5</v>
      </c>
      <c r="E45" s="32">
        <v>4.9682999999999998E-2</v>
      </c>
      <c r="F45" s="32" t="s">
        <v>186</v>
      </c>
      <c r="G45" s="32" t="s">
        <v>191</v>
      </c>
      <c r="H45" s="32">
        <v>64</v>
      </c>
      <c r="I45" s="32">
        <v>1</v>
      </c>
      <c r="J45" s="32">
        <v>32</v>
      </c>
      <c r="K45" s="32">
        <v>32</v>
      </c>
      <c r="L45" s="32">
        <v>1</v>
      </c>
      <c r="M45" s="32">
        <v>1</v>
      </c>
      <c r="N45" s="32">
        <v>2</v>
      </c>
      <c r="O45" s="32">
        <v>512</v>
      </c>
      <c r="P45" s="33">
        <f t="shared" si="1"/>
        <v>20127.609041321983</v>
      </c>
      <c r="U45" s="27" t="s">
        <v>186</v>
      </c>
      <c r="V45" s="27" t="s">
        <v>216</v>
      </c>
    </row>
    <row r="46" spans="1:22" x14ac:dyDescent="0.25">
      <c r="A46" s="31" t="str">
        <f t="shared" si="0"/>
        <v>./spechmmer/l1i_assoc.4</v>
      </c>
      <c r="B46" s="32">
        <v>0.87417199999999995</v>
      </c>
      <c r="C46" s="32">
        <v>8.7983000000000006E-2</v>
      </c>
      <c r="D46" s="32">
        <v>5.8999999999999998E-5</v>
      </c>
      <c r="E46" s="32">
        <v>5.6766999999999998E-2</v>
      </c>
      <c r="F46" s="32" t="s">
        <v>186</v>
      </c>
      <c r="G46" s="32" t="s">
        <v>193</v>
      </c>
      <c r="H46" s="32">
        <v>64</v>
      </c>
      <c r="I46" s="32">
        <v>1</v>
      </c>
      <c r="J46" s="32">
        <v>32</v>
      </c>
      <c r="K46" s="32">
        <v>32</v>
      </c>
      <c r="L46" s="32">
        <v>1</v>
      </c>
      <c r="M46" s="32">
        <v>4</v>
      </c>
      <c r="N46" s="32">
        <v>2</v>
      </c>
      <c r="O46" s="32">
        <v>512</v>
      </c>
      <c r="P46" s="33">
        <f t="shared" si="1"/>
        <v>17615.868374231508</v>
      </c>
      <c r="U46" s="27" t="s">
        <v>186</v>
      </c>
      <c r="V46" s="27" t="s">
        <v>217</v>
      </c>
    </row>
    <row r="47" spans="1:22" x14ac:dyDescent="0.25">
      <c r="A47" s="31" t="str">
        <f t="shared" si="0"/>
        <v>./spechmmer/l1d.128kB_l1i.16kB</v>
      </c>
      <c r="B47" s="32">
        <v>1.4214199999999999</v>
      </c>
      <c r="C47" s="32">
        <v>0.160857</v>
      </c>
      <c r="D47" s="32">
        <v>6.0000000000000002E-5</v>
      </c>
      <c r="E47" s="32">
        <v>9.4936999999999994E-2</v>
      </c>
      <c r="F47" s="32" t="s">
        <v>186</v>
      </c>
      <c r="G47" s="32" t="s">
        <v>191</v>
      </c>
      <c r="H47" s="32">
        <v>64</v>
      </c>
      <c r="I47" s="32">
        <v>1</v>
      </c>
      <c r="J47" s="32">
        <v>128</v>
      </c>
      <c r="K47" s="32">
        <v>16</v>
      </c>
      <c r="L47" s="32">
        <v>1</v>
      </c>
      <c r="M47" s="32">
        <v>1</v>
      </c>
      <c r="N47" s="32">
        <v>2</v>
      </c>
      <c r="O47" s="32">
        <v>512</v>
      </c>
      <c r="P47" s="33">
        <f t="shared" si="1"/>
        <v>10533.301031210172</v>
      </c>
      <c r="U47" s="27" t="s">
        <v>186</v>
      </c>
      <c r="V47" s="27" t="s">
        <v>218</v>
      </c>
    </row>
    <row r="48" spans="1:22" x14ac:dyDescent="0.25">
      <c r="A48" s="31" t="str">
        <f t="shared" si="0"/>
        <v>./spechmmer/l1d_assoc.2</v>
      </c>
      <c r="B48" s="32">
        <v>1.1473599999999999</v>
      </c>
      <c r="C48" s="32">
        <v>8.9768000000000001E-2</v>
      </c>
      <c r="D48" s="32">
        <v>5.8E-5</v>
      </c>
      <c r="E48" s="32">
        <v>7.1752999999999997E-2</v>
      </c>
      <c r="F48" s="32" t="s">
        <v>186</v>
      </c>
      <c r="G48" s="32" t="s">
        <v>192</v>
      </c>
      <c r="H48" s="32">
        <v>64</v>
      </c>
      <c r="I48" s="32">
        <v>1</v>
      </c>
      <c r="J48" s="32">
        <v>32</v>
      </c>
      <c r="K48" s="32">
        <v>32</v>
      </c>
      <c r="L48" s="32">
        <v>2</v>
      </c>
      <c r="M48" s="32">
        <v>1</v>
      </c>
      <c r="N48" s="32">
        <v>2</v>
      </c>
      <c r="O48" s="32">
        <v>512</v>
      </c>
      <c r="P48" s="33">
        <f t="shared" si="1"/>
        <v>13936.699510821847</v>
      </c>
      <c r="U48" s="27" t="s">
        <v>186</v>
      </c>
      <c r="V48" s="27" t="s">
        <v>219</v>
      </c>
    </row>
    <row r="49" spans="1:22" x14ac:dyDescent="0.25">
      <c r="A49" s="31" t="str">
        <f t="shared" si="0"/>
        <v>./spechmmer/l1d.128kB_l1i.128kB</v>
      </c>
      <c r="B49" s="32">
        <v>2.1138300000000001</v>
      </c>
      <c r="C49" s="32">
        <v>0.169988</v>
      </c>
      <c r="D49" s="32">
        <v>5.8E-5</v>
      </c>
      <c r="E49" s="32">
        <v>0.132461</v>
      </c>
      <c r="F49" s="32" t="s">
        <v>186</v>
      </c>
      <c r="G49" s="32" t="s">
        <v>191</v>
      </c>
      <c r="H49" s="32">
        <v>64</v>
      </c>
      <c r="I49" s="32">
        <v>1</v>
      </c>
      <c r="J49" s="32">
        <v>128</v>
      </c>
      <c r="K49" s="32">
        <v>128</v>
      </c>
      <c r="L49" s="32">
        <v>1</v>
      </c>
      <c r="M49" s="32">
        <v>1</v>
      </c>
      <c r="N49" s="32">
        <v>2</v>
      </c>
      <c r="O49" s="32">
        <v>512</v>
      </c>
      <c r="P49" s="33">
        <f t="shared" si="1"/>
        <v>7549.391896482739</v>
      </c>
      <c r="U49" s="27" t="s">
        <v>186</v>
      </c>
      <c r="V49" s="27" t="s">
        <v>220</v>
      </c>
    </row>
    <row r="50" spans="1:22" x14ac:dyDescent="0.25">
      <c r="A50" s="31" t="str">
        <f t="shared" si="0"/>
        <v>./spechmmer/l2_size.2MB</v>
      </c>
      <c r="B50" s="32">
        <v>1.15062</v>
      </c>
      <c r="C50" s="32">
        <v>9.0008000000000005E-2</v>
      </c>
      <c r="D50" s="32">
        <v>5.8999999999999998E-5</v>
      </c>
      <c r="E50" s="32">
        <v>7.3196999999999998E-2</v>
      </c>
      <c r="F50" s="32" t="s">
        <v>186</v>
      </c>
      <c r="G50" s="32" t="s">
        <v>184</v>
      </c>
      <c r="H50" s="32">
        <v>64</v>
      </c>
      <c r="I50" s="32">
        <v>1</v>
      </c>
      <c r="J50" s="32">
        <v>32</v>
      </c>
      <c r="K50" s="32">
        <v>32</v>
      </c>
      <c r="L50" s="32">
        <v>1</v>
      </c>
      <c r="M50" s="32">
        <v>1</v>
      </c>
      <c r="N50" s="32">
        <v>2</v>
      </c>
      <c r="O50" s="32">
        <v>2048</v>
      </c>
      <c r="P50" s="33">
        <f t="shared" si="1"/>
        <v>13661.762094074895</v>
      </c>
      <c r="U50" s="27" t="s">
        <v>186</v>
      </c>
      <c r="V50" s="27" t="s">
        <v>221</v>
      </c>
    </row>
    <row r="51" spans="1:22" x14ac:dyDescent="0.25">
      <c r="A51" s="31" t="str">
        <f t="shared" si="0"/>
        <v>./spechmmer/l1d_assoc.1</v>
      </c>
      <c r="B51" s="32">
        <v>1.14703</v>
      </c>
      <c r="C51" s="32">
        <v>8.7855000000000003E-2</v>
      </c>
      <c r="D51" s="32">
        <v>5.8999999999999998E-5</v>
      </c>
      <c r="E51" s="32">
        <v>7.2858000000000006E-2</v>
      </c>
      <c r="F51" s="32" t="s">
        <v>186</v>
      </c>
      <c r="G51" s="32" t="s">
        <v>192</v>
      </c>
      <c r="H51" s="32">
        <v>64</v>
      </c>
      <c r="I51" s="32">
        <v>1</v>
      </c>
      <c r="J51" s="32">
        <v>32</v>
      </c>
      <c r="K51" s="32">
        <v>32</v>
      </c>
      <c r="L51" s="32">
        <v>1</v>
      </c>
      <c r="M51" s="32">
        <v>1</v>
      </c>
      <c r="N51" s="32">
        <v>2</v>
      </c>
      <c r="O51" s="32">
        <v>512</v>
      </c>
      <c r="P51" s="33">
        <f t="shared" si="1"/>
        <v>13725.328721622882</v>
      </c>
      <c r="U51" s="27" t="s">
        <v>186</v>
      </c>
      <c r="V51" s="27" t="s">
        <v>222</v>
      </c>
    </row>
    <row r="52" spans="1:22" x14ac:dyDescent="0.25">
      <c r="A52" s="31" t="str">
        <f t="shared" si="0"/>
        <v>./spechmmer/l1d.32kB_l1i.16kB</v>
      </c>
      <c r="B52" s="32">
        <v>0.73653299999999999</v>
      </c>
      <c r="C52" s="32">
        <v>8.4698999999999997E-2</v>
      </c>
      <c r="D52" s="32">
        <v>6.0999999999999999E-5</v>
      </c>
      <c r="E52" s="32">
        <v>5.0095000000000001E-2</v>
      </c>
      <c r="F52" s="32" t="s">
        <v>186</v>
      </c>
      <c r="G52" s="32" t="s">
        <v>191</v>
      </c>
      <c r="H52" s="32">
        <v>64</v>
      </c>
      <c r="I52" s="32">
        <v>1</v>
      </c>
      <c r="J52" s="32">
        <v>32</v>
      </c>
      <c r="K52" s="32">
        <v>16</v>
      </c>
      <c r="L52" s="32">
        <v>1</v>
      </c>
      <c r="M52" s="32">
        <v>1</v>
      </c>
      <c r="N52" s="32">
        <v>2</v>
      </c>
      <c r="O52" s="32">
        <v>512</v>
      </c>
      <c r="P52" s="33">
        <f t="shared" si="1"/>
        <v>19962.072063080148</v>
      </c>
      <c r="U52" s="27" t="s">
        <v>186</v>
      </c>
      <c r="V52" s="27" t="s">
        <v>223</v>
      </c>
    </row>
    <row r="53" spans="1:22" x14ac:dyDescent="0.25">
      <c r="A53" s="31" t="str">
        <f t="shared" si="0"/>
        <v>./spechmmer/l1d.64kB_l1i.32kB</v>
      </c>
      <c r="B53" s="32">
        <v>1.14703</v>
      </c>
      <c r="C53" s="32">
        <v>0.14014099999999999</v>
      </c>
      <c r="D53" s="32">
        <v>5.8999999999999998E-5</v>
      </c>
      <c r="E53" s="32">
        <v>7.5942999999999997E-2</v>
      </c>
      <c r="F53" s="32" t="s">
        <v>186</v>
      </c>
      <c r="G53" s="32" t="s">
        <v>191</v>
      </c>
      <c r="H53" s="32">
        <v>64</v>
      </c>
      <c r="I53" s="32">
        <v>1</v>
      </c>
      <c r="J53" s="32">
        <v>64</v>
      </c>
      <c r="K53" s="32">
        <v>32</v>
      </c>
      <c r="L53" s="32">
        <v>1</v>
      </c>
      <c r="M53" s="32">
        <v>1</v>
      </c>
      <c r="N53" s="32">
        <v>2</v>
      </c>
      <c r="O53" s="32">
        <v>512</v>
      </c>
      <c r="P53" s="33">
        <f t="shared" si="1"/>
        <v>13167.77056476568</v>
      </c>
      <c r="U53" s="27" t="s">
        <v>186</v>
      </c>
      <c r="V53" s="27" t="s">
        <v>224</v>
      </c>
    </row>
    <row r="54" spans="1:22" x14ac:dyDescent="0.25">
      <c r="A54" s="31" t="str">
        <f t="shared" si="0"/>
        <v>./spechmmer/l1d.64kB_l1i.16kB</v>
      </c>
      <c r="B54" s="32">
        <v>1.13951</v>
      </c>
      <c r="C54" s="32">
        <v>0.13935800000000001</v>
      </c>
      <c r="D54" s="32">
        <v>6.0000000000000002E-5</v>
      </c>
      <c r="E54" s="32">
        <v>7.6731999999999995E-2</v>
      </c>
      <c r="F54" s="32" t="s">
        <v>186</v>
      </c>
      <c r="G54" s="32" t="s">
        <v>191</v>
      </c>
      <c r="H54" s="32">
        <v>64</v>
      </c>
      <c r="I54" s="32">
        <v>1</v>
      </c>
      <c r="J54" s="32">
        <v>64</v>
      </c>
      <c r="K54" s="32">
        <v>16</v>
      </c>
      <c r="L54" s="32">
        <v>1</v>
      </c>
      <c r="M54" s="32">
        <v>1</v>
      </c>
      <c r="N54" s="32">
        <v>2</v>
      </c>
      <c r="O54" s="32">
        <v>512</v>
      </c>
      <c r="P54" s="33">
        <f t="shared" si="1"/>
        <v>13032.372413074077</v>
      </c>
      <c r="U54" s="27" t="s">
        <v>186</v>
      </c>
      <c r="V54" s="27" t="s">
        <v>225</v>
      </c>
    </row>
    <row r="55" spans="1:22" x14ac:dyDescent="0.25">
      <c r="A55" s="31" t="str">
        <f t="shared" si="0"/>
        <v>./spechmmer/l1d.32kB_l1i.128kB</v>
      </c>
      <c r="B55" s="32">
        <v>1.4289400000000001</v>
      </c>
      <c r="C55" s="32">
        <v>8.9607999999999993E-2</v>
      </c>
      <c r="D55" s="32">
        <v>5.8999999999999998E-5</v>
      </c>
      <c r="E55" s="32">
        <v>8.9593999999999993E-2</v>
      </c>
      <c r="F55" s="32" t="s">
        <v>186</v>
      </c>
      <c r="G55" s="32" t="s">
        <v>191</v>
      </c>
      <c r="H55" s="32">
        <v>64</v>
      </c>
      <c r="I55" s="32">
        <v>1</v>
      </c>
      <c r="J55" s="32">
        <v>32</v>
      </c>
      <c r="K55" s="32">
        <v>128</v>
      </c>
      <c r="L55" s="32">
        <v>1</v>
      </c>
      <c r="M55" s="32">
        <v>1</v>
      </c>
      <c r="N55" s="32">
        <v>2</v>
      </c>
      <c r="O55" s="32">
        <v>512</v>
      </c>
      <c r="P55" s="33">
        <f t="shared" si="1"/>
        <v>11161.461705024891</v>
      </c>
      <c r="U55" s="27" t="s">
        <v>186</v>
      </c>
      <c r="V55" s="27" t="s">
        <v>226</v>
      </c>
    </row>
    <row r="56" spans="1:22" x14ac:dyDescent="0.25">
      <c r="A56" s="31" t="str">
        <f t="shared" si="0"/>
        <v>./spechmmer/l2d_assoc.2</v>
      </c>
      <c r="B56" s="32">
        <v>1.14703</v>
      </c>
      <c r="C56" s="32">
        <v>8.7855000000000003E-2</v>
      </c>
      <c r="D56" s="32">
        <v>5.8999999999999998E-5</v>
      </c>
      <c r="E56" s="32">
        <v>7.2858000000000006E-2</v>
      </c>
      <c r="F56" s="32" t="s">
        <v>186</v>
      </c>
      <c r="G56" s="32" t="s">
        <v>194</v>
      </c>
      <c r="H56" s="32">
        <v>64</v>
      </c>
      <c r="I56" s="32">
        <v>1</v>
      </c>
      <c r="J56" s="32">
        <v>32</v>
      </c>
      <c r="K56" s="32">
        <v>32</v>
      </c>
      <c r="L56" s="32">
        <v>1</v>
      </c>
      <c r="M56" s="32">
        <v>1</v>
      </c>
      <c r="N56" s="32">
        <v>2</v>
      </c>
      <c r="O56" s="32">
        <v>512</v>
      </c>
      <c r="P56" s="33">
        <f t="shared" si="1"/>
        <v>13725.328721622882</v>
      </c>
      <c r="U56" s="27" t="s">
        <v>186</v>
      </c>
      <c r="V56" s="27" t="s">
        <v>227</v>
      </c>
    </row>
    <row r="57" spans="1:22" x14ac:dyDescent="0.25">
      <c r="A57" s="31" t="str">
        <f t="shared" si="0"/>
        <v>./spechmmer/l1d_assoc.4</v>
      </c>
      <c r="B57" s="32">
        <v>1.22661</v>
      </c>
      <c r="C57" s="32">
        <v>0.13103100000000001</v>
      </c>
      <c r="D57" s="32">
        <v>5.8E-5</v>
      </c>
      <c r="E57" s="32">
        <v>7.8742999999999994E-2</v>
      </c>
      <c r="F57" s="32" t="s">
        <v>186</v>
      </c>
      <c r="G57" s="32" t="s">
        <v>192</v>
      </c>
      <c r="H57" s="32">
        <v>64</v>
      </c>
      <c r="I57" s="32">
        <v>1</v>
      </c>
      <c r="J57" s="32">
        <v>32</v>
      </c>
      <c r="K57" s="32">
        <v>32</v>
      </c>
      <c r="L57" s="32">
        <v>4</v>
      </c>
      <c r="M57" s="32">
        <v>1</v>
      </c>
      <c r="N57" s="32">
        <v>2</v>
      </c>
      <c r="O57" s="32">
        <v>512</v>
      </c>
      <c r="P57" s="33">
        <f t="shared" si="1"/>
        <v>12699.54154655017</v>
      </c>
      <c r="U57" s="27" t="s">
        <v>186</v>
      </c>
      <c r="V57" s="27" t="s">
        <v>228</v>
      </c>
    </row>
    <row r="58" spans="1:22" x14ac:dyDescent="0.25">
      <c r="A58" s="31" t="str">
        <f t="shared" si="0"/>
        <v>./spechmmer/cacheline.128</v>
      </c>
      <c r="B58" s="32">
        <v>1.1059399999999999</v>
      </c>
      <c r="C58" s="32">
        <v>0.121987</v>
      </c>
      <c r="D58" s="32">
        <v>5.0000000000000002E-5</v>
      </c>
      <c r="E58" s="32">
        <v>6.1395999999999999E-2</v>
      </c>
      <c r="F58" s="32" t="s">
        <v>186</v>
      </c>
      <c r="G58" s="32" t="s">
        <v>190</v>
      </c>
      <c r="H58" s="32">
        <v>128</v>
      </c>
      <c r="I58" s="32">
        <v>1</v>
      </c>
      <c r="J58" s="32">
        <v>32</v>
      </c>
      <c r="K58" s="32">
        <v>32</v>
      </c>
      <c r="L58" s="32">
        <v>1</v>
      </c>
      <c r="M58" s="32">
        <v>1</v>
      </c>
      <c r="N58" s="32">
        <v>2</v>
      </c>
      <c r="O58" s="32">
        <v>512</v>
      </c>
      <c r="P58" s="33">
        <f t="shared" si="1"/>
        <v>16287.7060394814</v>
      </c>
      <c r="U58" s="27" t="s">
        <v>186</v>
      </c>
      <c r="V58" s="27" t="s">
        <v>229</v>
      </c>
    </row>
    <row r="59" spans="1:22" x14ac:dyDescent="0.25">
      <c r="A59" s="31" t="str">
        <f t="shared" si="0"/>
        <v>./spechmmer/l1d.16kB_l1i.16kB</v>
      </c>
      <c r="B59" s="32">
        <v>0.72901800000000005</v>
      </c>
      <c r="C59" s="32">
        <v>8.4891999999999995E-2</v>
      </c>
      <c r="D59" s="32">
        <v>6.0999999999999999E-5</v>
      </c>
      <c r="E59" s="32">
        <v>4.9648999999999999E-2</v>
      </c>
      <c r="F59" s="32" t="s">
        <v>186</v>
      </c>
      <c r="G59" s="32" t="s">
        <v>191</v>
      </c>
      <c r="H59" s="32">
        <v>64</v>
      </c>
      <c r="I59" s="32">
        <v>1</v>
      </c>
      <c r="J59" s="32">
        <v>16</v>
      </c>
      <c r="K59" s="32">
        <v>16</v>
      </c>
      <c r="L59" s="32">
        <v>1</v>
      </c>
      <c r="M59" s="32">
        <v>1</v>
      </c>
      <c r="N59" s="32">
        <v>2</v>
      </c>
      <c r="O59" s="32">
        <v>512</v>
      </c>
      <c r="P59" s="33">
        <f t="shared" si="1"/>
        <v>20141.392575882699</v>
      </c>
      <c r="U59" s="27" t="s">
        <v>186</v>
      </c>
      <c r="V59" s="27" t="s">
        <v>230</v>
      </c>
    </row>
    <row r="60" spans="1:22" x14ac:dyDescent="0.25">
      <c r="A60" s="31" t="str">
        <f t="shared" si="0"/>
        <v>./spechmmer/l2_size.512kB</v>
      </c>
      <c r="B60" s="32">
        <v>1.14703</v>
      </c>
      <c r="C60" s="32">
        <v>8.7855000000000003E-2</v>
      </c>
      <c r="D60" s="32">
        <v>5.8999999999999998E-5</v>
      </c>
      <c r="E60" s="32">
        <v>7.2858000000000006E-2</v>
      </c>
      <c r="F60" s="32" t="s">
        <v>186</v>
      </c>
      <c r="G60" s="32" t="s">
        <v>184</v>
      </c>
      <c r="H60" s="32">
        <v>64</v>
      </c>
      <c r="I60" s="32">
        <v>1</v>
      </c>
      <c r="J60" s="32">
        <v>32</v>
      </c>
      <c r="K60" s="32">
        <v>32</v>
      </c>
      <c r="L60" s="32">
        <v>1</v>
      </c>
      <c r="M60" s="32">
        <v>1</v>
      </c>
      <c r="N60" s="32">
        <v>2</v>
      </c>
      <c r="O60" s="32">
        <v>512</v>
      </c>
      <c r="P60" s="33">
        <f t="shared" si="1"/>
        <v>13725.328721622882</v>
      </c>
      <c r="U60" s="27" t="s">
        <v>186</v>
      </c>
      <c r="V60" s="27" t="s">
        <v>231</v>
      </c>
    </row>
    <row r="61" spans="1:22" x14ac:dyDescent="0.25">
      <c r="A61" s="31" t="str">
        <f t="shared" si="0"/>
        <v>./spechmmer/cacheline.64</v>
      </c>
      <c r="B61" s="32">
        <v>1.14703</v>
      </c>
      <c r="C61" s="32">
        <v>8.7855000000000003E-2</v>
      </c>
      <c r="D61" s="32">
        <v>5.8999999999999998E-5</v>
      </c>
      <c r="E61" s="32">
        <v>7.2858000000000006E-2</v>
      </c>
      <c r="F61" s="32" t="s">
        <v>186</v>
      </c>
      <c r="G61" s="32" t="s">
        <v>190</v>
      </c>
      <c r="H61" s="32">
        <v>64</v>
      </c>
      <c r="I61" s="32">
        <v>1</v>
      </c>
      <c r="J61" s="32">
        <v>32</v>
      </c>
      <c r="K61" s="32">
        <v>32</v>
      </c>
      <c r="L61" s="32">
        <v>1</v>
      </c>
      <c r="M61" s="32">
        <v>1</v>
      </c>
      <c r="N61" s="32">
        <v>2</v>
      </c>
      <c r="O61" s="32">
        <v>512</v>
      </c>
      <c r="P61" s="33">
        <f t="shared" si="1"/>
        <v>13725.328721622882</v>
      </c>
      <c r="U61" s="27" t="s">
        <v>186</v>
      </c>
      <c r="V61" s="27" t="s">
        <v>232</v>
      </c>
    </row>
    <row r="62" spans="1:22" x14ac:dyDescent="0.25">
      <c r="A62" s="31" t="str">
        <f t="shared" si="0"/>
        <v>./spechmmer/l1d.128kB_l1i.32kB</v>
      </c>
      <c r="B62" s="32">
        <v>1.4289400000000001</v>
      </c>
      <c r="C62" s="32">
        <v>0.16298799999999999</v>
      </c>
      <c r="D62" s="32">
        <v>5.8999999999999998E-5</v>
      </c>
      <c r="E62" s="32">
        <v>9.3923999999999994E-2</v>
      </c>
      <c r="F62" s="32" t="s">
        <v>186</v>
      </c>
      <c r="G62" s="32" t="s">
        <v>191</v>
      </c>
      <c r="H62" s="32">
        <v>64</v>
      </c>
      <c r="I62" s="32">
        <v>1</v>
      </c>
      <c r="J62" s="32">
        <v>128</v>
      </c>
      <c r="K62" s="32">
        <v>32</v>
      </c>
      <c r="L62" s="32">
        <v>1</v>
      </c>
      <c r="M62" s="32">
        <v>1</v>
      </c>
      <c r="N62" s="32">
        <v>2</v>
      </c>
      <c r="O62" s="32">
        <v>512</v>
      </c>
      <c r="P62" s="33">
        <f t="shared" si="1"/>
        <v>10646.906009113753</v>
      </c>
      <c r="U62" s="27" t="s">
        <v>186</v>
      </c>
      <c r="V62" s="27" t="s">
        <v>233</v>
      </c>
    </row>
    <row r="63" spans="1:22" x14ac:dyDescent="0.25">
      <c r="A63" s="31" t="str">
        <f t="shared" si="0"/>
        <v>./spechmmer/l1d.16kB_l1i.64kB</v>
      </c>
      <c r="B63" s="32">
        <v>1.13951</v>
      </c>
      <c r="C63" s="32">
        <v>8.7309999999999999E-2</v>
      </c>
      <c r="D63" s="32">
        <v>6.0000000000000002E-5</v>
      </c>
      <c r="E63" s="32">
        <v>7.3608999999999994E-2</v>
      </c>
      <c r="F63" s="32" t="s">
        <v>186</v>
      </c>
      <c r="G63" s="32" t="s">
        <v>191</v>
      </c>
      <c r="H63" s="32">
        <v>64</v>
      </c>
      <c r="I63" s="32">
        <v>1</v>
      </c>
      <c r="J63" s="32">
        <v>16</v>
      </c>
      <c r="K63" s="32">
        <v>64</v>
      </c>
      <c r="L63" s="32">
        <v>1</v>
      </c>
      <c r="M63" s="32">
        <v>1</v>
      </c>
      <c r="N63" s="32">
        <v>2</v>
      </c>
      <c r="O63" s="32">
        <v>512</v>
      </c>
      <c r="P63" s="33">
        <f t="shared" si="1"/>
        <v>13585.295276392835</v>
      </c>
      <c r="U63" s="27" t="s">
        <v>186</v>
      </c>
      <c r="V63" s="27" t="s">
        <v>234</v>
      </c>
    </row>
    <row r="64" spans="1:22" x14ac:dyDescent="0.25">
      <c r="A64" s="31" t="str">
        <f t="shared" si="0"/>
        <v>./spechmmer/cacheline.32</v>
      </c>
      <c r="B64" s="32">
        <v>0.84024299999999996</v>
      </c>
      <c r="C64" s="32">
        <v>7.4321999999999999E-2</v>
      </c>
      <c r="D64" s="32">
        <v>8.1000000000000004E-5</v>
      </c>
      <c r="E64" s="32">
        <v>7.4079999999999993E-2</v>
      </c>
      <c r="F64" s="32" t="s">
        <v>186</v>
      </c>
      <c r="G64" s="32" t="s">
        <v>190</v>
      </c>
      <c r="H64" s="32">
        <v>32</v>
      </c>
      <c r="I64" s="32">
        <v>1</v>
      </c>
      <c r="J64" s="32">
        <v>32</v>
      </c>
      <c r="K64" s="32">
        <v>32</v>
      </c>
      <c r="L64" s="32">
        <v>1</v>
      </c>
      <c r="M64" s="32">
        <v>1</v>
      </c>
      <c r="N64" s="32">
        <v>2</v>
      </c>
      <c r="O64" s="32">
        <v>512</v>
      </c>
      <c r="P64" s="33">
        <f t="shared" si="1"/>
        <v>13498.920086393089</v>
      </c>
      <c r="U64" s="27" t="s">
        <v>186</v>
      </c>
      <c r="V64" s="27" t="s">
        <v>235</v>
      </c>
    </row>
    <row r="65" spans="1:22" x14ac:dyDescent="0.25">
      <c r="A65" s="31" t="str">
        <f t="shared" si="0"/>
        <v>./spechmmer/l1d.64kB_l1i.64kB</v>
      </c>
      <c r="B65" s="32">
        <v>1.55</v>
      </c>
      <c r="C65" s="32">
        <v>0.14433199999999999</v>
      </c>
      <c r="D65" s="32">
        <v>5.8E-5</v>
      </c>
      <c r="E65" s="32">
        <v>9.8270999999999997E-2</v>
      </c>
      <c r="F65" s="32" t="s">
        <v>186</v>
      </c>
      <c r="G65" s="32" t="s">
        <v>191</v>
      </c>
      <c r="H65" s="32">
        <v>64</v>
      </c>
      <c r="I65" s="32">
        <v>1</v>
      </c>
      <c r="J65" s="32">
        <v>64</v>
      </c>
      <c r="K65" s="32">
        <v>64</v>
      </c>
      <c r="L65" s="32">
        <v>1</v>
      </c>
      <c r="M65" s="32">
        <v>1</v>
      </c>
      <c r="N65" s="32">
        <v>2</v>
      </c>
      <c r="O65" s="32">
        <v>512</v>
      </c>
      <c r="P65" s="33">
        <f t="shared" si="1"/>
        <v>10175.942037834153</v>
      </c>
      <c r="U65" s="27" t="s">
        <v>186</v>
      </c>
      <c r="V65" s="27" t="s">
        <v>236</v>
      </c>
    </row>
    <row r="66" spans="1:22" x14ac:dyDescent="0.25">
      <c r="A66" s="31" t="str">
        <f t="shared" si="0"/>
        <v>./spechmmer/l1d.128kB_l1i.64kB</v>
      </c>
      <c r="B66" s="32">
        <v>1.83192</v>
      </c>
      <c r="C66" s="32">
        <v>0.16806599999999999</v>
      </c>
      <c r="D66" s="32">
        <v>5.8E-5</v>
      </c>
      <c r="E66" s="32">
        <v>0.115999</v>
      </c>
      <c r="F66" s="32" t="s">
        <v>186</v>
      </c>
      <c r="G66" s="32" t="s">
        <v>191</v>
      </c>
      <c r="H66" s="32">
        <v>64</v>
      </c>
      <c r="I66" s="32">
        <v>1</v>
      </c>
      <c r="J66" s="32">
        <v>128</v>
      </c>
      <c r="K66" s="32">
        <v>64</v>
      </c>
      <c r="L66" s="32">
        <v>1</v>
      </c>
      <c r="M66" s="32">
        <v>1</v>
      </c>
      <c r="N66" s="32">
        <v>2</v>
      </c>
      <c r="O66" s="32">
        <v>512</v>
      </c>
      <c r="P66" s="33">
        <f t="shared" si="1"/>
        <v>8620.7639721032065</v>
      </c>
      <c r="U66" s="27" t="s">
        <v>186</v>
      </c>
      <c r="V66" s="27" t="s">
        <v>237</v>
      </c>
    </row>
    <row r="67" spans="1:22" x14ac:dyDescent="0.25">
      <c r="A67" s="31" t="str">
        <f t="shared" ref="A67:A130" si="2">"./" &amp; U67 &amp; "/" &amp; TRIM(V67)</f>
        <v>./spechmmer/l2_size.1MB</v>
      </c>
      <c r="B67" s="32">
        <v>1.14855</v>
      </c>
      <c r="C67" s="32">
        <v>8.8681999999999997E-2</v>
      </c>
      <c r="D67" s="32">
        <v>5.8999999999999998E-5</v>
      </c>
      <c r="E67" s="32">
        <v>7.2997000000000006E-2</v>
      </c>
      <c r="F67" s="32" t="s">
        <v>186</v>
      </c>
      <c r="G67" s="32" t="s">
        <v>184</v>
      </c>
      <c r="H67" s="32">
        <v>64</v>
      </c>
      <c r="I67" s="32">
        <v>1</v>
      </c>
      <c r="J67" s="32">
        <v>32</v>
      </c>
      <c r="K67" s="32">
        <v>32</v>
      </c>
      <c r="L67" s="32">
        <v>1</v>
      </c>
      <c r="M67" s="32">
        <v>1</v>
      </c>
      <c r="N67" s="32">
        <v>2</v>
      </c>
      <c r="O67" s="32">
        <v>1024</v>
      </c>
      <c r="P67" s="33">
        <f t="shared" ref="P67:P130" si="3">1/E67*1000</f>
        <v>13699.193117525378</v>
      </c>
      <c r="U67" s="27" t="s">
        <v>186</v>
      </c>
      <c r="V67" s="27" t="s">
        <v>238</v>
      </c>
    </row>
    <row r="68" spans="1:22" x14ac:dyDescent="0.25">
      <c r="A68" s="31" t="str">
        <f t="shared" si="2"/>
        <v>./spechmmer/l1d.16kB_l1i.128kB</v>
      </c>
      <c r="B68" s="32">
        <v>1.4214199999999999</v>
      </c>
      <c r="C68" s="32">
        <v>8.8956999999999994E-2</v>
      </c>
      <c r="D68" s="32">
        <v>6.0000000000000002E-5</v>
      </c>
      <c r="E68" s="32">
        <v>9.0622999999999995E-2</v>
      </c>
      <c r="F68" s="32" t="s">
        <v>186</v>
      </c>
      <c r="G68" s="32" t="s">
        <v>191</v>
      </c>
      <c r="H68" s="32">
        <v>64</v>
      </c>
      <c r="I68" s="32">
        <v>1</v>
      </c>
      <c r="J68" s="32">
        <v>16</v>
      </c>
      <c r="K68" s="32">
        <v>128</v>
      </c>
      <c r="L68" s="32">
        <v>1</v>
      </c>
      <c r="M68" s="32">
        <v>1</v>
      </c>
      <c r="N68" s="32">
        <v>2</v>
      </c>
      <c r="O68" s="32">
        <v>512</v>
      </c>
      <c r="P68" s="33">
        <f t="shared" si="3"/>
        <v>11034.726283614535</v>
      </c>
      <c r="U68" s="27" t="s">
        <v>186</v>
      </c>
      <c r="V68" s="27" t="s">
        <v>239</v>
      </c>
    </row>
    <row r="69" spans="1:22" ht="15.75" thickBot="1" x14ac:dyDescent="0.3">
      <c r="A69" s="34" t="str">
        <f t="shared" si="2"/>
        <v>./spechmmer/l2_size.4MB</v>
      </c>
      <c r="B69" s="35">
        <v>1.1553500000000001</v>
      </c>
      <c r="C69" s="35">
        <v>9.1427999999999995E-2</v>
      </c>
      <c r="D69" s="35">
        <v>5.8999999999999998E-5</v>
      </c>
      <c r="E69" s="35">
        <v>7.356E-2</v>
      </c>
      <c r="F69" s="35" t="s">
        <v>186</v>
      </c>
      <c r="G69" s="35" t="s">
        <v>184</v>
      </c>
      <c r="H69" s="35">
        <v>64</v>
      </c>
      <c r="I69" s="35">
        <v>1</v>
      </c>
      <c r="J69" s="35">
        <v>32</v>
      </c>
      <c r="K69" s="35">
        <v>32</v>
      </c>
      <c r="L69" s="35">
        <v>1</v>
      </c>
      <c r="M69" s="35">
        <v>1</v>
      </c>
      <c r="N69" s="35">
        <v>2</v>
      </c>
      <c r="O69" s="35">
        <v>4096</v>
      </c>
      <c r="P69" s="36">
        <f t="shared" si="3"/>
        <v>13594.344752582925</v>
      </c>
      <c r="U69" s="27" t="s">
        <v>186</v>
      </c>
      <c r="V69" s="27" t="s">
        <v>240</v>
      </c>
    </row>
    <row r="70" spans="1:22" x14ac:dyDescent="0.25">
      <c r="A70" s="28" t="str">
        <f t="shared" si="2"/>
        <v>./speclibm/l2_size.256kB</v>
      </c>
      <c r="B70" s="29">
        <v>1.1464399999999999</v>
      </c>
      <c r="C70" s="29">
        <v>0.113189</v>
      </c>
      <c r="D70" s="29">
        <v>0.70424200000000003</v>
      </c>
      <c r="E70" s="29">
        <v>887.08364600000004</v>
      </c>
      <c r="F70" s="29" t="s">
        <v>187</v>
      </c>
      <c r="G70" s="29" t="s">
        <v>184</v>
      </c>
      <c r="H70" s="29">
        <v>64</v>
      </c>
      <c r="I70" s="29">
        <v>1</v>
      </c>
      <c r="J70" s="29">
        <v>32</v>
      </c>
      <c r="K70" s="29">
        <v>32</v>
      </c>
      <c r="L70" s="29">
        <v>1</v>
      </c>
      <c r="M70" s="29">
        <v>1</v>
      </c>
      <c r="N70" s="29">
        <v>2</v>
      </c>
      <c r="O70" s="29">
        <v>256</v>
      </c>
      <c r="P70" s="30">
        <f t="shared" si="3"/>
        <v>1.1272894100901956</v>
      </c>
      <c r="U70" s="27" t="s">
        <v>187</v>
      </c>
      <c r="V70" s="27" t="s">
        <v>207</v>
      </c>
    </row>
    <row r="71" spans="1:22" x14ac:dyDescent="0.25">
      <c r="A71" s="31" t="str">
        <f t="shared" si="2"/>
        <v>./speclibm/l2d_assoc.4</v>
      </c>
      <c r="B71" s="32">
        <v>1.14703</v>
      </c>
      <c r="C71" s="32">
        <v>0.114356</v>
      </c>
      <c r="D71" s="32">
        <v>0.704237</v>
      </c>
      <c r="E71" s="32">
        <v>888.31469200000004</v>
      </c>
      <c r="F71" s="32" t="s">
        <v>187</v>
      </c>
      <c r="G71" s="32" t="s">
        <v>194</v>
      </c>
      <c r="H71" s="32">
        <v>64</v>
      </c>
      <c r="I71" s="32">
        <v>1</v>
      </c>
      <c r="J71" s="32">
        <v>32</v>
      </c>
      <c r="K71" s="32">
        <v>32</v>
      </c>
      <c r="L71" s="32">
        <v>1</v>
      </c>
      <c r="M71" s="32">
        <v>1</v>
      </c>
      <c r="N71" s="32">
        <v>4</v>
      </c>
      <c r="O71" s="32">
        <v>512</v>
      </c>
      <c r="P71" s="33">
        <f t="shared" si="3"/>
        <v>1.1257271876800166</v>
      </c>
      <c r="U71" s="27" t="s">
        <v>187</v>
      </c>
      <c r="V71" s="27" t="s">
        <v>208</v>
      </c>
    </row>
    <row r="72" spans="1:22" x14ac:dyDescent="0.25">
      <c r="A72" s="31" t="str">
        <f t="shared" si="2"/>
        <v>./speclibm/l1i_assoc.2</v>
      </c>
      <c r="B72" s="32">
        <v>1.14927</v>
      </c>
      <c r="C72" s="32">
        <v>0.114303</v>
      </c>
      <c r="D72" s="32">
        <v>0.70422200000000001</v>
      </c>
      <c r="E72" s="32">
        <v>889.83590500000003</v>
      </c>
      <c r="F72" s="32" t="s">
        <v>187</v>
      </c>
      <c r="G72" s="32" t="s">
        <v>193</v>
      </c>
      <c r="H72" s="32">
        <v>64</v>
      </c>
      <c r="I72" s="32">
        <v>1</v>
      </c>
      <c r="J72" s="32">
        <v>32</v>
      </c>
      <c r="K72" s="32">
        <v>32</v>
      </c>
      <c r="L72" s="32">
        <v>1</v>
      </c>
      <c r="M72" s="32">
        <v>2</v>
      </c>
      <c r="N72" s="32">
        <v>2</v>
      </c>
      <c r="O72" s="32">
        <v>512</v>
      </c>
      <c r="P72" s="33">
        <f t="shared" si="3"/>
        <v>1.1238027083206987</v>
      </c>
      <c r="U72" s="27" t="s">
        <v>187</v>
      </c>
      <c r="V72" s="27" t="s">
        <v>209</v>
      </c>
    </row>
    <row r="73" spans="1:22" x14ac:dyDescent="0.25">
      <c r="A73" s="31" t="str">
        <f t="shared" si="2"/>
        <v>./speclibm/l1d.64kB_l1i.128kB</v>
      </c>
      <c r="B73" s="32">
        <v>1.83192</v>
      </c>
      <c r="C73" s="32">
        <v>0.21135899999999999</v>
      </c>
      <c r="D73" s="32">
        <v>0.70417700000000005</v>
      </c>
      <c r="E73" s="32">
        <v>1438.830076</v>
      </c>
      <c r="F73" s="32" t="s">
        <v>187</v>
      </c>
      <c r="G73" s="32" t="s">
        <v>191</v>
      </c>
      <c r="H73" s="32">
        <v>64</v>
      </c>
      <c r="I73" s="32">
        <v>1</v>
      </c>
      <c r="J73" s="32">
        <v>64</v>
      </c>
      <c r="K73" s="32">
        <v>128</v>
      </c>
      <c r="L73" s="32">
        <v>1</v>
      </c>
      <c r="M73" s="32">
        <v>1</v>
      </c>
      <c r="N73" s="32">
        <v>2</v>
      </c>
      <c r="O73" s="32">
        <v>512</v>
      </c>
      <c r="P73" s="33">
        <f t="shared" si="3"/>
        <v>0.69500910265931926</v>
      </c>
      <c r="U73" s="27" t="s">
        <v>187</v>
      </c>
      <c r="V73" s="27" t="s">
        <v>210</v>
      </c>
    </row>
    <row r="74" spans="1:22" x14ac:dyDescent="0.25">
      <c r="A74" s="31" t="str">
        <f t="shared" si="2"/>
        <v>./speclibm/l1d.16kB_l1i.32kB</v>
      </c>
      <c r="B74" s="32">
        <v>0.73653299999999999</v>
      </c>
      <c r="C74" s="32">
        <v>0.11126800000000001</v>
      </c>
      <c r="D74" s="32">
        <v>0.70467500000000005</v>
      </c>
      <c r="E74" s="32">
        <v>597.42417</v>
      </c>
      <c r="F74" s="32" t="s">
        <v>187</v>
      </c>
      <c r="G74" s="32" t="s">
        <v>191</v>
      </c>
      <c r="H74" s="32">
        <v>64</v>
      </c>
      <c r="I74" s="32">
        <v>1</v>
      </c>
      <c r="J74" s="32">
        <v>16</v>
      </c>
      <c r="K74" s="32">
        <v>32</v>
      </c>
      <c r="L74" s="32">
        <v>1</v>
      </c>
      <c r="M74" s="32">
        <v>1</v>
      </c>
      <c r="N74" s="32">
        <v>2</v>
      </c>
      <c r="O74" s="32">
        <v>512</v>
      </c>
      <c r="P74" s="33">
        <f t="shared" si="3"/>
        <v>1.6738525995692473</v>
      </c>
      <c r="U74" s="27" t="s">
        <v>187</v>
      </c>
      <c r="V74" s="27" t="s">
        <v>211</v>
      </c>
    </row>
    <row r="75" spans="1:22" x14ac:dyDescent="0.25">
      <c r="A75" s="31" t="str">
        <f t="shared" si="2"/>
        <v>./speclibm/cpu_clock.1GHz</v>
      </c>
      <c r="B75" s="32">
        <v>1.14703</v>
      </c>
      <c r="C75" s="32">
        <v>0.114302</v>
      </c>
      <c r="D75" s="32">
        <v>0.70422399999999996</v>
      </c>
      <c r="E75" s="32">
        <v>888.260266</v>
      </c>
      <c r="F75" s="32" t="s">
        <v>187</v>
      </c>
      <c r="G75" s="32" t="s">
        <v>195</v>
      </c>
      <c r="H75" s="32">
        <v>64</v>
      </c>
      <c r="I75" s="32">
        <v>1</v>
      </c>
      <c r="J75" s="32">
        <v>32</v>
      </c>
      <c r="K75" s="32">
        <v>32</v>
      </c>
      <c r="L75" s="32">
        <v>1</v>
      </c>
      <c r="M75" s="32">
        <v>1</v>
      </c>
      <c r="N75" s="32">
        <v>2</v>
      </c>
      <c r="O75" s="32">
        <v>512</v>
      </c>
      <c r="P75" s="33">
        <f t="shared" si="3"/>
        <v>1.1257961638914511</v>
      </c>
      <c r="U75" s="27" t="s">
        <v>187</v>
      </c>
      <c r="V75" s="27" t="s">
        <v>212</v>
      </c>
    </row>
    <row r="76" spans="1:22" x14ac:dyDescent="0.25">
      <c r="A76" s="31" t="str">
        <f t="shared" si="2"/>
        <v>./speclibm/l1d.32kB_l1i.64kB</v>
      </c>
      <c r="B76" s="32">
        <v>1.14703</v>
      </c>
      <c r="C76" s="32">
        <v>0.114302</v>
      </c>
      <c r="D76" s="32">
        <v>0.70422399999999996</v>
      </c>
      <c r="E76" s="32">
        <v>888.260266</v>
      </c>
      <c r="F76" s="32" t="s">
        <v>187</v>
      </c>
      <c r="G76" s="32" t="s">
        <v>191</v>
      </c>
      <c r="H76" s="32">
        <v>64</v>
      </c>
      <c r="I76" s="32">
        <v>1</v>
      </c>
      <c r="J76" s="32">
        <v>32</v>
      </c>
      <c r="K76" s="32">
        <v>64</v>
      </c>
      <c r="L76" s="32">
        <v>1</v>
      </c>
      <c r="M76" s="32">
        <v>1</v>
      </c>
      <c r="N76" s="32">
        <v>2</v>
      </c>
      <c r="O76" s="32">
        <v>512</v>
      </c>
      <c r="P76" s="33">
        <f t="shared" si="3"/>
        <v>1.1257961638914511</v>
      </c>
      <c r="U76" s="27" t="s">
        <v>187</v>
      </c>
      <c r="V76" s="27" t="s">
        <v>213</v>
      </c>
    </row>
    <row r="77" spans="1:22" x14ac:dyDescent="0.25">
      <c r="A77" s="31" t="str">
        <f t="shared" si="2"/>
        <v>./speclibm/l2d_assoc.1</v>
      </c>
      <c r="B77" s="32">
        <v>1.1470199999999999</v>
      </c>
      <c r="C77" s="32">
        <v>0.114287</v>
      </c>
      <c r="D77" s="32">
        <v>0.704233</v>
      </c>
      <c r="E77" s="32">
        <v>888.25401299999999</v>
      </c>
      <c r="F77" s="32" t="s">
        <v>187</v>
      </c>
      <c r="G77" s="32" t="s">
        <v>194</v>
      </c>
      <c r="H77" s="32">
        <v>64</v>
      </c>
      <c r="I77" s="32">
        <v>1</v>
      </c>
      <c r="J77" s="32">
        <v>32</v>
      </c>
      <c r="K77" s="32">
        <v>32</v>
      </c>
      <c r="L77" s="32">
        <v>1</v>
      </c>
      <c r="M77" s="32">
        <v>1</v>
      </c>
      <c r="N77" s="32">
        <v>1</v>
      </c>
      <c r="O77" s="32">
        <v>512</v>
      </c>
      <c r="P77" s="33">
        <f t="shared" si="3"/>
        <v>1.125804089105759</v>
      </c>
      <c r="U77" s="27" t="s">
        <v>187</v>
      </c>
      <c r="V77" s="27" t="s">
        <v>214</v>
      </c>
    </row>
    <row r="78" spans="1:22" x14ac:dyDescent="0.25">
      <c r="A78" s="31" t="str">
        <f t="shared" si="2"/>
        <v>./speclibm/l1i_assoc.1</v>
      </c>
      <c r="B78" s="32">
        <v>1.14703</v>
      </c>
      <c r="C78" s="32">
        <v>0.114302</v>
      </c>
      <c r="D78" s="32">
        <v>0.70422399999999996</v>
      </c>
      <c r="E78" s="32">
        <v>888.260266</v>
      </c>
      <c r="F78" s="32" t="s">
        <v>187</v>
      </c>
      <c r="G78" s="32" t="s">
        <v>193</v>
      </c>
      <c r="H78" s="32">
        <v>64</v>
      </c>
      <c r="I78" s="32">
        <v>1</v>
      </c>
      <c r="J78" s="32">
        <v>32</v>
      </c>
      <c r="K78" s="32">
        <v>32</v>
      </c>
      <c r="L78" s="32">
        <v>1</v>
      </c>
      <c r="M78" s="32">
        <v>1</v>
      </c>
      <c r="N78" s="32">
        <v>2</v>
      </c>
      <c r="O78" s="32">
        <v>512</v>
      </c>
      <c r="P78" s="33">
        <f t="shared" si="3"/>
        <v>1.1257961638914511</v>
      </c>
      <c r="U78" s="27" t="s">
        <v>187</v>
      </c>
      <c r="V78" s="27" t="s">
        <v>215</v>
      </c>
    </row>
    <row r="79" spans="1:22" x14ac:dyDescent="0.25">
      <c r="A79" s="31" t="str">
        <f t="shared" si="2"/>
        <v>./speclibm/l1d.32kB_l1i.32kB</v>
      </c>
      <c r="B79" s="32">
        <v>0.74404700000000001</v>
      </c>
      <c r="C79" s="32">
        <v>0.114302</v>
      </c>
      <c r="D79" s="32">
        <v>0.70422700000000005</v>
      </c>
      <c r="E79" s="32">
        <v>604.47254099999998</v>
      </c>
      <c r="F79" s="32" t="s">
        <v>187</v>
      </c>
      <c r="G79" s="32" t="s">
        <v>191</v>
      </c>
      <c r="H79" s="32">
        <v>64</v>
      </c>
      <c r="I79" s="32">
        <v>1</v>
      </c>
      <c r="J79" s="32">
        <v>32</v>
      </c>
      <c r="K79" s="32">
        <v>32</v>
      </c>
      <c r="L79" s="32">
        <v>1</v>
      </c>
      <c r="M79" s="32">
        <v>1</v>
      </c>
      <c r="N79" s="32">
        <v>2</v>
      </c>
      <c r="O79" s="32">
        <v>512</v>
      </c>
      <c r="P79" s="33">
        <f t="shared" si="3"/>
        <v>1.6543348658082386</v>
      </c>
      <c r="U79" s="27" t="s">
        <v>187</v>
      </c>
      <c r="V79" s="27" t="s">
        <v>216</v>
      </c>
    </row>
    <row r="80" spans="1:22" x14ac:dyDescent="0.25">
      <c r="A80" s="31" t="str">
        <f t="shared" si="2"/>
        <v>./speclibm/l1i_assoc.4</v>
      </c>
      <c r="B80" s="32">
        <v>0.87417199999999995</v>
      </c>
      <c r="C80" s="32">
        <v>0.114302</v>
      </c>
      <c r="D80" s="32">
        <v>0.70422600000000002</v>
      </c>
      <c r="E80" s="32">
        <v>696.10909100000003</v>
      </c>
      <c r="F80" s="32" t="s">
        <v>187</v>
      </c>
      <c r="G80" s="32" t="s">
        <v>193</v>
      </c>
      <c r="H80" s="32">
        <v>64</v>
      </c>
      <c r="I80" s="32">
        <v>1</v>
      </c>
      <c r="J80" s="32">
        <v>32</v>
      </c>
      <c r="K80" s="32">
        <v>32</v>
      </c>
      <c r="L80" s="32">
        <v>1</v>
      </c>
      <c r="M80" s="32">
        <v>4</v>
      </c>
      <c r="N80" s="32">
        <v>2</v>
      </c>
      <c r="O80" s="32">
        <v>512</v>
      </c>
      <c r="P80" s="33">
        <f t="shared" si="3"/>
        <v>1.4365564434210212</v>
      </c>
      <c r="U80" s="27" t="s">
        <v>187</v>
      </c>
      <c r="V80" s="27" t="s">
        <v>217</v>
      </c>
    </row>
    <row r="81" spans="1:22" x14ac:dyDescent="0.25">
      <c r="A81" s="31" t="str">
        <f t="shared" si="2"/>
        <v>./speclibm/l1d.128kB_l1i.16kB</v>
      </c>
      <c r="B81" s="32">
        <v>1.4214199999999999</v>
      </c>
      <c r="C81" s="32">
        <v>0.255718</v>
      </c>
      <c r="D81" s="32">
        <v>0.70414900000000002</v>
      </c>
      <c r="E81" s="32">
        <v>1180.955046</v>
      </c>
      <c r="F81" s="32" t="s">
        <v>187</v>
      </c>
      <c r="G81" s="32" t="s">
        <v>191</v>
      </c>
      <c r="H81" s="32">
        <v>64</v>
      </c>
      <c r="I81" s="32">
        <v>1</v>
      </c>
      <c r="J81" s="32">
        <v>128</v>
      </c>
      <c r="K81" s="32">
        <v>16</v>
      </c>
      <c r="L81" s="32">
        <v>1</v>
      </c>
      <c r="M81" s="32">
        <v>1</v>
      </c>
      <c r="N81" s="32">
        <v>2</v>
      </c>
      <c r="O81" s="32">
        <v>512</v>
      </c>
      <c r="P81" s="33">
        <f t="shared" si="3"/>
        <v>0.84677228264283988</v>
      </c>
      <c r="U81" s="27" t="s">
        <v>187</v>
      </c>
      <c r="V81" s="27" t="s">
        <v>218</v>
      </c>
    </row>
    <row r="82" spans="1:22" x14ac:dyDescent="0.25">
      <c r="A82" s="31" t="str">
        <f t="shared" si="2"/>
        <v>./speclibm/l1d_assoc.2</v>
      </c>
      <c r="B82" s="32">
        <v>1.1473599999999999</v>
      </c>
      <c r="C82" s="32">
        <v>0.116259</v>
      </c>
      <c r="D82" s="32">
        <v>0.70412799999999998</v>
      </c>
      <c r="E82" s="32">
        <v>889.74951899999996</v>
      </c>
      <c r="F82" s="32" t="s">
        <v>187</v>
      </c>
      <c r="G82" s="32" t="s">
        <v>192</v>
      </c>
      <c r="H82" s="32">
        <v>64</v>
      </c>
      <c r="I82" s="32">
        <v>1</v>
      </c>
      <c r="J82" s="32">
        <v>32</v>
      </c>
      <c r="K82" s="32">
        <v>32</v>
      </c>
      <c r="L82" s="32">
        <v>2</v>
      </c>
      <c r="M82" s="32">
        <v>1</v>
      </c>
      <c r="N82" s="32">
        <v>2</v>
      </c>
      <c r="O82" s="32">
        <v>512</v>
      </c>
      <c r="P82" s="33">
        <f t="shared" si="3"/>
        <v>1.1239118186025117</v>
      </c>
      <c r="U82" s="27" t="s">
        <v>187</v>
      </c>
      <c r="V82" s="27" t="s">
        <v>219</v>
      </c>
    </row>
    <row r="83" spans="1:22" x14ac:dyDescent="0.25">
      <c r="A83" s="31" t="str">
        <f t="shared" si="2"/>
        <v>./speclibm/l1d.128kB_l1i.128kB</v>
      </c>
      <c r="B83" s="32">
        <v>2.1138300000000001</v>
      </c>
      <c r="C83" s="32">
        <v>0.25571899999999997</v>
      </c>
      <c r="D83" s="32">
        <v>0.70414500000000002</v>
      </c>
      <c r="E83" s="32">
        <v>1668.506081</v>
      </c>
      <c r="F83" s="32" t="s">
        <v>187</v>
      </c>
      <c r="G83" s="32" t="s">
        <v>191</v>
      </c>
      <c r="H83" s="32">
        <v>64</v>
      </c>
      <c r="I83" s="32">
        <v>1</v>
      </c>
      <c r="J83" s="32">
        <v>128</v>
      </c>
      <c r="K83" s="32">
        <v>128</v>
      </c>
      <c r="L83" s="32">
        <v>1</v>
      </c>
      <c r="M83" s="32">
        <v>1</v>
      </c>
      <c r="N83" s="32">
        <v>2</v>
      </c>
      <c r="O83" s="32">
        <v>512</v>
      </c>
      <c r="P83" s="33">
        <f t="shared" si="3"/>
        <v>0.5993385408584555</v>
      </c>
      <c r="U83" s="27" t="s">
        <v>187</v>
      </c>
      <c r="V83" s="27" t="s">
        <v>220</v>
      </c>
    </row>
    <row r="84" spans="1:22" x14ac:dyDescent="0.25">
      <c r="A84" s="31" t="str">
        <f t="shared" si="2"/>
        <v>./speclibm/l2_size.2MB</v>
      </c>
      <c r="B84" s="32">
        <v>1.15062</v>
      </c>
      <c r="C84" s="32">
        <v>0.121257</v>
      </c>
      <c r="D84" s="32">
        <v>0.70411199999999996</v>
      </c>
      <c r="E84" s="32">
        <v>895.543858</v>
      </c>
      <c r="F84" s="32" t="s">
        <v>187</v>
      </c>
      <c r="G84" s="32" t="s">
        <v>184</v>
      </c>
      <c r="H84" s="32">
        <v>64</v>
      </c>
      <c r="I84" s="32">
        <v>1</v>
      </c>
      <c r="J84" s="32">
        <v>32</v>
      </c>
      <c r="K84" s="32">
        <v>32</v>
      </c>
      <c r="L84" s="32">
        <v>1</v>
      </c>
      <c r="M84" s="32">
        <v>1</v>
      </c>
      <c r="N84" s="32">
        <v>2</v>
      </c>
      <c r="O84" s="32">
        <v>2048</v>
      </c>
      <c r="P84" s="33">
        <f t="shared" si="3"/>
        <v>1.1166398954857215</v>
      </c>
      <c r="U84" s="27" t="s">
        <v>187</v>
      </c>
      <c r="V84" s="27" t="s">
        <v>221</v>
      </c>
    </row>
    <row r="85" spans="1:22" x14ac:dyDescent="0.25">
      <c r="A85" s="31" t="str">
        <f t="shared" si="2"/>
        <v>./speclibm/l1d_assoc.1</v>
      </c>
      <c r="B85" s="32">
        <v>1.14703</v>
      </c>
      <c r="C85" s="32">
        <v>0.114302</v>
      </c>
      <c r="D85" s="32">
        <v>0.70422399999999996</v>
      </c>
      <c r="E85" s="32">
        <v>888.260266</v>
      </c>
      <c r="F85" s="32" t="s">
        <v>187</v>
      </c>
      <c r="G85" s="32" t="s">
        <v>192</v>
      </c>
      <c r="H85" s="32">
        <v>64</v>
      </c>
      <c r="I85" s="32">
        <v>1</v>
      </c>
      <c r="J85" s="32">
        <v>32</v>
      </c>
      <c r="K85" s="32">
        <v>32</v>
      </c>
      <c r="L85" s="32">
        <v>1</v>
      </c>
      <c r="M85" s="32">
        <v>1</v>
      </c>
      <c r="N85" s="32">
        <v>2</v>
      </c>
      <c r="O85" s="32">
        <v>512</v>
      </c>
      <c r="P85" s="33">
        <f t="shared" si="3"/>
        <v>1.1257961638914511</v>
      </c>
      <c r="U85" s="27" t="s">
        <v>187</v>
      </c>
      <c r="V85" s="27" t="s">
        <v>222</v>
      </c>
    </row>
    <row r="86" spans="1:22" x14ac:dyDescent="0.25">
      <c r="A86" s="31" t="str">
        <f t="shared" si="2"/>
        <v>./speclibm/l1d.32kB_l1i.16kB</v>
      </c>
      <c r="B86" s="32">
        <v>0.73653299999999999</v>
      </c>
      <c r="C86" s="32">
        <v>0.114302</v>
      </c>
      <c r="D86" s="32">
        <v>0.70423000000000002</v>
      </c>
      <c r="E86" s="32">
        <v>599.18353200000001</v>
      </c>
      <c r="F86" s="32" t="s">
        <v>187</v>
      </c>
      <c r="G86" s="32" t="s">
        <v>191</v>
      </c>
      <c r="H86" s="32">
        <v>64</v>
      </c>
      <c r="I86" s="32">
        <v>1</v>
      </c>
      <c r="J86" s="32">
        <v>32</v>
      </c>
      <c r="K86" s="32">
        <v>16</v>
      </c>
      <c r="L86" s="32">
        <v>1</v>
      </c>
      <c r="M86" s="32">
        <v>1</v>
      </c>
      <c r="N86" s="32">
        <v>2</v>
      </c>
      <c r="O86" s="32">
        <v>512</v>
      </c>
      <c r="P86" s="33">
        <f t="shared" si="3"/>
        <v>1.6689377237423808</v>
      </c>
      <c r="U86" s="27" t="s">
        <v>187</v>
      </c>
      <c r="V86" s="27" t="s">
        <v>223</v>
      </c>
    </row>
    <row r="87" spans="1:22" x14ac:dyDescent="0.25">
      <c r="A87" s="31" t="str">
        <f t="shared" si="2"/>
        <v>./speclibm/l1d.64kB_l1i.32kB</v>
      </c>
      <c r="B87" s="32">
        <v>1.14703</v>
      </c>
      <c r="C87" s="32">
        <v>0.21135799999999999</v>
      </c>
      <c r="D87" s="32">
        <v>0.70417700000000005</v>
      </c>
      <c r="E87" s="32">
        <v>956.54558699999995</v>
      </c>
      <c r="F87" s="32" t="s">
        <v>187</v>
      </c>
      <c r="G87" s="32" t="s">
        <v>191</v>
      </c>
      <c r="H87" s="32">
        <v>64</v>
      </c>
      <c r="I87" s="32">
        <v>1</v>
      </c>
      <c r="J87" s="32">
        <v>64</v>
      </c>
      <c r="K87" s="32">
        <v>32</v>
      </c>
      <c r="L87" s="32">
        <v>1</v>
      </c>
      <c r="M87" s="32">
        <v>1</v>
      </c>
      <c r="N87" s="32">
        <v>2</v>
      </c>
      <c r="O87" s="32">
        <v>512</v>
      </c>
      <c r="P87" s="33">
        <f t="shared" si="3"/>
        <v>1.0454284809742163</v>
      </c>
      <c r="U87" s="27" t="s">
        <v>187</v>
      </c>
      <c r="V87" s="27" t="s">
        <v>224</v>
      </c>
    </row>
    <row r="88" spans="1:22" x14ac:dyDescent="0.25">
      <c r="A88" s="31" t="str">
        <f t="shared" si="2"/>
        <v>./speclibm/l1d.64kB_l1i.16kB</v>
      </c>
      <c r="B88" s="32">
        <v>1.13951</v>
      </c>
      <c r="C88" s="32">
        <v>0.21135699999999999</v>
      </c>
      <c r="D88" s="32">
        <v>0.70418099999999995</v>
      </c>
      <c r="E88" s="32">
        <v>951.25487499999997</v>
      </c>
      <c r="F88" s="32" t="s">
        <v>187</v>
      </c>
      <c r="G88" s="32" t="s">
        <v>191</v>
      </c>
      <c r="H88" s="32">
        <v>64</v>
      </c>
      <c r="I88" s="32">
        <v>1</v>
      </c>
      <c r="J88" s="32">
        <v>64</v>
      </c>
      <c r="K88" s="32">
        <v>16</v>
      </c>
      <c r="L88" s="32">
        <v>1</v>
      </c>
      <c r="M88" s="32">
        <v>1</v>
      </c>
      <c r="N88" s="32">
        <v>2</v>
      </c>
      <c r="O88" s="32">
        <v>512</v>
      </c>
      <c r="P88" s="33">
        <f t="shared" si="3"/>
        <v>1.051242969976895</v>
      </c>
      <c r="U88" s="27" t="s">
        <v>187</v>
      </c>
      <c r="V88" s="27" t="s">
        <v>225</v>
      </c>
    </row>
    <row r="89" spans="1:22" x14ac:dyDescent="0.25">
      <c r="A89" s="31" t="str">
        <f t="shared" si="2"/>
        <v>./speclibm/l1d.32kB_l1i.128kB</v>
      </c>
      <c r="B89" s="32">
        <v>1.4289400000000001</v>
      </c>
      <c r="C89" s="32">
        <v>0.114302</v>
      </c>
      <c r="D89" s="32">
        <v>0.70422399999999996</v>
      </c>
      <c r="E89" s="32">
        <v>1086.7880540000001</v>
      </c>
      <c r="F89" s="32" t="s">
        <v>187</v>
      </c>
      <c r="G89" s="32" t="s">
        <v>191</v>
      </c>
      <c r="H89" s="32">
        <v>64</v>
      </c>
      <c r="I89" s="32">
        <v>1</v>
      </c>
      <c r="J89" s="32">
        <v>32</v>
      </c>
      <c r="K89" s="32">
        <v>128</v>
      </c>
      <c r="L89" s="32">
        <v>1</v>
      </c>
      <c r="M89" s="32">
        <v>1</v>
      </c>
      <c r="N89" s="32">
        <v>2</v>
      </c>
      <c r="O89" s="32">
        <v>512</v>
      </c>
      <c r="P89" s="33">
        <f t="shared" si="3"/>
        <v>0.92014261319806512</v>
      </c>
      <c r="U89" s="27" t="s">
        <v>187</v>
      </c>
      <c r="V89" s="27" t="s">
        <v>226</v>
      </c>
    </row>
    <row r="90" spans="1:22" x14ac:dyDescent="0.25">
      <c r="A90" s="31" t="str">
        <f t="shared" si="2"/>
        <v>./speclibm/l2d_assoc.2</v>
      </c>
      <c r="B90" s="32">
        <v>1.14703</v>
      </c>
      <c r="C90" s="32">
        <v>0.114302</v>
      </c>
      <c r="D90" s="32">
        <v>0.70422399999999996</v>
      </c>
      <c r="E90" s="32">
        <v>888.260266</v>
      </c>
      <c r="F90" s="32" t="s">
        <v>187</v>
      </c>
      <c r="G90" s="32" t="s">
        <v>194</v>
      </c>
      <c r="H90" s="32">
        <v>64</v>
      </c>
      <c r="I90" s="32">
        <v>1</v>
      </c>
      <c r="J90" s="32">
        <v>32</v>
      </c>
      <c r="K90" s="32">
        <v>32</v>
      </c>
      <c r="L90" s="32">
        <v>1</v>
      </c>
      <c r="M90" s="32">
        <v>1</v>
      </c>
      <c r="N90" s="32">
        <v>2</v>
      </c>
      <c r="O90" s="32">
        <v>512</v>
      </c>
      <c r="P90" s="33">
        <f t="shared" si="3"/>
        <v>1.1257961638914511</v>
      </c>
      <c r="U90" s="27" t="s">
        <v>187</v>
      </c>
      <c r="V90" s="27" t="s">
        <v>227</v>
      </c>
    </row>
    <row r="91" spans="1:22" x14ac:dyDescent="0.25">
      <c r="A91" s="31" t="str">
        <f t="shared" si="2"/>
        <v>./speclibm/l1d_assoc.4</v>
      </c>
      <c r="B91" s="32">
        <v>1.22661</v>
      </c>
      <c r="C91" s="32">
        <v>0.210316</v>
      </c>
      <c r="D91" s="32">
        <v>0.70412799999999998</v>
      </c>
      <c r="E91" s="32">
        <v>1011.7798309999999</v>
      </c>
      <c r="F91" s="32" t="s">
        <v>187</v>
      </c>
      <c r="G91" s="32" t="s">
        <v>192</v>
      </c>
      <c r="H91" s="32">
        <v>64</v>
      </c>
      <c r="I91" s="32">
        <v>1</v>
      </c>
      <c r="J91" s="32">
        <v>32</v>
      </c>
      <c r="K91" s="32">
        <v>32</v>
      </c>
      <c r="L91" s="32">
        <v>4</v>
      </c>
      <c r="M91" s="32">
        <v>1</v>
      </c>
      <c r="N91" s="32">
        <v>2</v>
      </c>
      <c r="O91" s="32">
        <v>512</v>
      </c>
      <c r="P91" s="33">
        <f t="shared" si="3"/>
        <v>0.98835731782836844</v>
      </c>
      <c r="U91" s="27" t="s">
        <v>187</v>
      </c>
      <c r="V91" s="27" t="s">
        <v>228</v>
      </c>
    </row>
    <row r="92" spans="1:22" x14ac:dyDescent="0.25">
      <c r="A92" s="31" t="str">
        <f t="shared" si="2"/>
        <v>./speclibm/cacheline.128</v>
      </c>
      <c r="B92" s="32">
        <v>1.1059399999999999</v>
      </c>
      <c r="C92" s="32">
        <v>0.185393</v>
      </c>
      <c r="D92" s="32">
        <v>0.49782100000000001</v>
      </c>
      <c r="E92" s="32">
        <v>642.85268499999995</v>
      </c>
      <c r="F92" s="32" t="s">
        <v>187</v>
      </c>
      <c r="G92" s="32" t="s">
        <v>190</v>
      </c>
      <c r="H92" s="32">
        <v>128</v>
      </c>
      <c r="I92" s="32">
        <v>1</v>
      </c>
      <c r="J92" s="32">
        <v>32</v>
      </c>
      <c r="K92" s="32">
        <v>32</v>
      </c>
      <c r="L92" s="32">
        <v>1</v>
      </c>
      <c r="M92" s="32">
        <v>1</v>
      </c>
      <c r="N92" s="32">
        <v>2</v>
      </c>
      <c r="O92" s="32">
        <v>512</v>
      </c>
      <c r="P92" s="33">
        <f t="shared" si="3"/>
        <v>1.5555663425439377</v>
      </c>
      <c r="U92" s="27" t="s">
        <v>187</v>
      </c>
      <c r="V92" s="27" t="s">
        <v>229</v>
      </c>
    </row>
    <row r="93" spans="1:22" x14ac:dyDescent="0.25">
      <c r="A93" s="31" t="str">
        <f t="shared" si="2"/>
        <v>./speclibm/l1d.16kB_l1i.16kB</v>
      </c>
      <c r="B93" s="32">
        <v>0.72901800000000005</v>
      </c>
      <c r="C93" s="32">
        <v>0.11130900000000001</v>
      </c>
      <c r="D93" s="32">
        <v>0.70435599999999998</v>
      </c>
      <c r="E93" s="32">
        <v>591.889364</v>
      </c>
      <c r="F93" s="32" t="s">
        <v>187</v>
      </c>
      <c r="G93" s="32" t="s">
        <v>191</v>
      </c>
      <c r="H93" s="32">
        <v>64</v>
      </c>
      <c r="I93" s="32">
        <v>1</v>
      </c>
      <c r="J93" s="32">
        <v>16</v>
      </c>
      <c r="K93" s="32">
        <v>16</v>
      </c>
      <c r="L93" s="32">
        <v>1</v>
      </c>
      <c r="M93" s="32">
        <v>1</v>
      </c>
      <c r="N93" s="32">
        <v>2</v>
      </c>
      <c r="O93" s="32">
        <v>512</v>
      </c>
      <c r="P93" s="33">
        <f t="shared" si="3"/>
        <v>1.6895049325468197</v>
      </c>
      <c r="U93" s="27" t="s">
        <v>187</v>
      </c>
      <c r="V93" s="27" t="s">
        <v>230</v>
      </c>
    </row>
    <row r="94" spans="1:22" x14ac:dyDescent="0.25">
      <c r="A94" s="31" t="str">
        <f t="shared" si="2"/>
        <v>./speclibm/l2_size.512kB</v>
      </c>
      <c r="B94" s="32">
        <v>1.14703</v>
      </c>
      <c r="C94" s="32">
        <v>0.114302</v>
      </c>
      <c r="D94" s="32">
        <v>0.70422399999999996</v>
      </c>
      <c r="E94" s="32">
        <v>888.260266</v>
      </c>
      <c r="F94" s="32" t="s">
        <v>187</v>
      </c>
      <c r="G94" s="32" t="s">
        <v>184</v>
      </c>
      <c r="H94" s="32">
        <v>64</v>
      </c>
      <c r="I94" s="32">
        <v>1</v>
      </c>
      <c r="J94" s="32">
        <v>32</v>
      </c>
      <c r="K94" s="32">
        <v>32</v>
      </c>
      <c r="L94" s="32">
        <v>1</v>
      </c>
      <c r="M94" s="32">
        <v>1</v>
      </c>
      <c r="N94" s="32">
        <v>2</v>
      </c>
      <c r="O94" s="32">
        <v>512</v>
      </c>
      <c r="P94" s="33">
        <f t="shared" si="3"/>
        <v>1.1257961638914511</v>
      </c>
      <c r="U94" s="27" t="s">
        <v>187</v>
      </c>
      <c r="V94" s="27" t="s">
        <v>231</v>
      </c>
    </row>
    <row r="95" spans="1:22" x14ac:dyDescent="0.25">
      <c r="A95" s="31" t="str">
        <f t="shared" si="2"/>
        <v>./speclibm/cacheline.64</v>
      </c>
      <c r="B95" s="32">
        <v>1.14703</v>
      </c>
      <c r="C95" s="32">
        <v>0.114302</v>
      </c>
      <c r="D95" s="32">
        <v>0.70422399999999996</v>
      </c>
      <c r="E95" s="32">
        <v>888.260266</v>
      </c>
      <c r="F95" s="32" t="s">
        <v>187</v>
      </c>
      <c r="G95" s="32" t="s">
        <v>190</v>
      </c>
      <c r="H95" s="32">
        <v>64</v>
      </c>
      <c r="I95" s="32">
        <v>1</v>
      </c>
      <c r="J95" s="32">
        <v>32</v>
      </c>
      <c r="K95" s="32">
        <v>32</v>
      </c>
      <c r="L95" s="32">
        <v>1</v>
      </c>
      <c r="M95" s="32">
        <v>1</v>
      </c>
      <c r="N95" s="32">
        <v>2</v>
      </c>
      <c r="O95" s="32">
        <v>512</v>
      </c>
      <c r="P95" s="33">
        <f t="shared" si="3"/>
        <v>1.1257961638914511</v>
      </c>
      <c r="U95" s="27" t="s">
        <v>187</v>
      </c>
      <c r="V95" s="27" t="s">
        <v>232</v>
      </c>
    </row>
    <row r="96" spans="1:22" x14ac:dyDescent="0.25">
      <c r="A96" s="31" t="str">
        <f t="shared" si="2"/>
        <v>./speclibm/l1d.128kB_l1i.32kB</v>
      </c>
      <c r="B96" s="32">
        <v>1.4289400000000001</v>
      </c>
      <c r="C96" s="32">
        <v>0.255716</v>
      </c>
      <c r="D96" s="32">
        <v>0.704152</v>
      </c>
      <c r="E96" s="32">
        <v>1186.253892</v>
      </c>
      <c r="F96" s="32" t="s">
        <v>187</v>
      </c>
      <c r="G96" s="32" t="s">
        <v>191</v>
      </c>
      <c r="H96" s="32">
        <v>64</v>
      </c>
      <c r="I96" s="32">
        <v>1</v>
      </c>
      <c r="J96" s="32">
        <v>128</v>
      </c>
      <c r="K96" s="32">
        <v>32</v>
      </c>
      <c r="L96" s="32">
        <v>1</v>
      </c>
      <c r="M96" s="32">
        <v>1</v>
      </c>
      <c r="N96" s="32">
        <v>2</v>
      </c>
      <c r="O96" s="32">
        <v>512</v>
      </c>
      <c r="P96" s="33">
        <f t="shared" si="3"/>
        <v>0.8429898580261096</v>
      </c>
      <c r="U96" s="27" t="s">
        <v>187</v>
      </c>
      <c r="V96" s="27" t="s">
        <v>233</v>
      </c>
    </row>
    <row r="97" spans="1:22" x14ac:dyDescent="0.25">
      <c r="A97" s="31" t="str">
        <f t="shared" si="2"/>
        <v>./speclibm/l1d.16kB_l1i.64kB</v>
      </c>
      <c r="B97" s="32">
        <v>1.13951</v>
      </c>
      <c r="C97" s="32">
        <v>0.11126900000000001</v>
      </c>
      <c r="D97" s="32">
        <v>0.70467299999999999</v>
      </c>
      <c r="E97" s="32">
        <v>881.39018999999996</v>
      </c>
      <c r="F97" s="32" t="s">
        <v>187</v>
      </c>
      <c r="G97" s="32" t="s">
        <v>191</v>
      </c>
      <c r="H97" s="32">
        <v>64</v>
      </c>
      <c r="I97" s="32">
        <v>1</v>
      </c>
      <c r="J97" s="32">
        <v>16</v>
      </c>
      <c r="K97" s="32">
        <v>64</v>
      </c>
      <c r="L97" s="32">
        <v>1</v>
      </c>
      <c r="M97" s="32">
        <v>1</v>
      </c>
      <c r="N97" s="32">
        <v>2</v>
      </c>
      <c r="O97" s="32">
        <v>512</v>
      </c>
      <c r="P97" s="33">
        <f t="shared" si="3"/>
        <v>1.1345712844841171</v>
      </c>
      <c r="U97" s="27" t="s">
        <v>187</v>
      </c>
      <c r="V97" s="27" t="s">
        <v>234</v>
      </c>
    </row>
    <row r="98" spans="1:22" x14ac:dyDescent="0.25">
      <c r="A98" s="31" t="str">
        <f t="shared" si="2"/>
        <v>./speclibm/cacheline.32</v>
      </c>
      <c r="B98" s="32">
        <v>0.84024299999999996</v>
      </c>
      <c r="C98" s="32">
        <v>9.5982999999999999E-2</v>
      </c>
      <c r="D98" s="32">
        <v>1.1660410000000001</v>
      </c>
      <c r="E98" s="32">
        <v>1091.677668</v>
      </c>
      <c r="F98" s="32" t="s">
        <v>187</v>
      </c>
      <c r="G98" s="32" t="s">
        <v>190</v>
      </c>
      <c r="H98" s="32">
        <v>32</v>
      </c>
      <c r="I98" s="32">
        <v>1</v>
      </c>
      <c r="J98" s="32">
        <v>32</v>
      </c>
      <c r="K98" s="32">
        <v>32</v>
      </c>
      <c r="L98" s="32">
        <v>1</v>
      </c>
      <c r="M98" s="32">
        <v>1</v>
      </c>
      <c r="N98" s="32">
        <v>2</v>
      </c>
      <c r="O98" s="32">
        <v>512</v>
      </c>
      <c r="P98" s="33">
        <f t="shared" si="3"/>
        <v>0.91602130309401908</v>
      </c>
      <c r="U98" s="27" t="s">
        <v>187</v>
      </c>
      <c r="V98" s="27" t="s">
        <v>235</v>
      </c>
    </row>
    <row r="99" spans="1:22" x14ac:dyDescent="0.25">
      <c r="A99" s="31" t="str">
        <f t="shared" si="2"/>
        <v>./speclibm/l1d.64kB_l1i.64kB</v>
      </c>
      <c r="B99" s="32">
        <v>1.55</v>
      </c>
      <c r="C99" s="32">
        <v>0.21135799999999999</v>
      </c>
      <c r="D99" s="32">
        <v>0.70417799999999997</v>
      </c>
      <c r="E99" s="32">
        <v>1240.3095539999999</v>
      </c>
      <c r="F99" s="32" t="s">
        <v>187</v>
      </c>
      <c r="G99" s="32" t="s">
        <v>191</v>
      </c>
      <c r="H99" s="32">
        <v>64</v>
      </c>
      <c r="I99" s="32">
        <v>1</v>
      </c>
      <c r="J99" s="32">
        <v>64</v>
      </c>
      <c r="K99" s="32">
        <v>64</v>
      </c>
      <c r="L99" s="32">
        <v>1</v>
      </c>
      <c r="M99" s="32">
        <v>1</v>
      </c>
      <c r="N99" s="32">
        <v>2</v>
      </c>
      <c r="O99" s="32">
        <v>512</v>
      </c>
      <c r="P99" s="33">
        <f t="shared" si="3"/>
        <v>0.80625034030819054</v>
      </c>
      <c r="U99" s="27" t="s">
        <v>187</v>
      </c>
      <c r="V99" s="27" t="s">
        <v>236</v>
      </c>
    </row>
    <row r="100" spans="1:22" x14ac:dyDescent="0.25">
      <c r="A100" s="31" t="str">
        <f t="shared" si="2"/>
        <v>./speclibm/l1d.128kB_l1i.64kB</v>
      </c>
      <c r="B100" s="32">
        <v>1.83192</v>
      </c>
      <c r="C100" s="32">
        <v>0.255718</v>
      </c>
      <c r="D100" s="32">
        <v>0.704148</v>
      </c>
      <c r="E100" s="32">
        <v>1470.006122</v>
      </c>
      <c r="F100" s="32" t="s">
        <v>187</v>
      </c>
      <c r="G100" s="32" t="s">
        <v>191</v>
      </c>
      <c r="H100" s="32">
        <v>64</v>
      </c>
      <c r="I100" s="32">
        <v>1</v>
      </c>
      <c r="J100" s="32">
        <v>128</v>
      </c>
      <c r="K100" s="32">
        <v>64</v>
      </c>
      <c r="L100" s="32">
        <v>1</v>
      </c>
      <c r="M100" s="32">
        <v>1</v>
      </c>
      <c r="N100" s="32">
        <v>2</v>
      </c>
      <c r="O100" s="32">
        <v>512</v>
      </c>
      <c r="P100" s="33">
        <f t="shared" si="3"/>
        <v>0.68026927577652629</v>
      </c>
      <c r="U100" s="27" t="s">
        <v>187</v>
      </c>
      <c r="V100" s="27" t="s">
        <v>237</v>
      </c>
    </row>
    <row r="101" spans="1:22" x14ac:dyDescent="0.25">
      <c r="A101" s="31" t="str">
        <f t="shared" si="2"/>
        <v>./speclibm/l2_size.1MB</v>
      </c>
      <c r="B101" s="32">
        <v>1.14855</v>
      </c>
      <c r="C101" s="32">
        <v>0.117018</v>
      </c>
      <c r="D101" s="32">
        <v>0.70419299999999996</v>
      </c>
      <c r="E101" s="32">
        <v>891.20412699999997</v>
      </c>
      <c r="F101" s="32" t="s">
        <v>187</v>
      </c>
      <c r="G101" s="32" t="s">
        <v>184</v>
      </c>
      <c r="H101" s="32">
        <v>64</v>
      </c>
      <c r="I101" s="32">
        <v>1</v>
      </c>
      <c r="J101" s="32">
        <v>32</v>
      </c>
      <c r="K101" s="32">
        <v>32</v>
      </c>
      <c r="L101" s="32">
        <v>1</v>
      </c>
      <c r="M101" s="32">
        <v>1</v>
      </c>
      <c r="N101" s="32">
        <v>2</v>
      </c>
      <c r="O101" s="32">
        <v>1024</v>
      </c>
      <c r="P101" s="33">
        <f t="shared" si="3"/>
        <v>1.1220773891232216</v>
      </c>
      <c r="U101" s="27" t="s">
        <v>187</v>
      </c>
      <c r="V101" s="27" t="s">
        <v>238</v>
      </c>
    </row>
    <row r="102" spans="1:22" x14ac:dyDescent="0.25">
      <c r="A102" s="31" t="str">
        <f t="shared" si="2"/>
        <v>./speclibm/l1d.16kB_l1i.128kB</v>
      </c>
      <c r="B102" s="32">
        <v>1.4214199999999999</v>
      </c>
      <c r="C102" s="32">
        <v>0.11131000000000001</v>
      </c>
      <c r="D102" s="32">
        <v>0.70435000000000003</v>
      </c>
      <c r="E102" s="32">
        <v>1079.5783750000001</v>
      </c>
      <c r="F102" s="32" t="s">
        <v>187</v>
      </c>
      <c r="G102" s="32" t="s">
        <v>191</v>
      </c>
      <c r="H102" s="32">
        <v>64</v>
      </c>
      <c r="I102" s="32">
        <v>1</v>
      </c>
      <c r="J102" s="32">
        <v>16</v>
      </c>
      <c r="K102" s="32">
        <v>128</v>
      </c>
      <c r="L102" s="32">
        <v>1</v>
      </c>
      <c r="M102" s="32">
        <v>1</v>
      </c>
      <c r="N102" s="32">
        <v>2</v>
      </c>
      <c r="O102" s="32">
        <v>512</v>
      </c>
      <c r="P102" s="33">
        <f t="shared" si="3"/>
        <v>0.92628754257883317</v>
      </c>
      <c r="U102" s="27" t="s">
        <v>187</v>
      </c>
      <c r="V102" s="27" t="s">
        <v>239</v>
      </c>
    </row>
    <row r="103" spans="1:22" ht="15.75" thickBot="1" x14ac:dyDescent="0.3">
      <c r="A103" s="34" t="str">
        <f t="shared" si="2"/>
        <v>./speclibm/l2_size.4MB</v>
      </c>
      <c r="B103" s="35">
        <v>1.1553500000000001</v>
      </c>
      <c r="C103" s="35">
        <v>0.125586</v>
      </c>
      <c r="D103" s="35">
        <v>0.70394999999999996</v>
      </c>
      <c r="E103" s="35">
        <v>901.71489699999995</v>
      </c>
      <c r="F103" s="35" t="s">
        <v>187</v>
      </c>
      <c r="G103" s="35" t="s">
        <v>184</v>
      </c>
      <c r="H103" s="35">
        <v>64</v>
      </c>
      <c r="I103" s="35">
        <v>1</v>
      </c>
      <c r="J103" s="35">
        <v>32</v>
      </c>
      <c r="K103" s="35">
        <v>32</v>
      </c>
      <c r="L103" s="35">
        <v>1</v>
      </c>
      <c r="M103" s="35">
        <v>1</v>
      </c>
      <c r="N103" s="35">
        <v>2</v>
      </c>
      <c r="O103" s="35">
        <v>4096</v>
      </c>
      <c r="P103" s="36">
        <f t="shared" si="3"/>
        <v>1.1089979807664196</v>
      </c>
      <c r="U103" s="27" t="s">
        <v>187</v>
      </c>
      <c r="V103" s="27" t="s">
        <v>240</v>
      </c>
    </row>
    <row r="104" spans="1:22" x14ac:dyDescent="0.25">
      <c r="A104" s="28" t="str">
        <f t="shared" si="2"/>
        <v>./specmcf/l2_size.256kB</v>
      </c>
      <c r="B104" s="29">
        <v>1.1464399999999999</v>
      </c>
      <c r="C104" s="29">
        <v>0.154082</v>
      </c>
      <c r="D104" s="29">
        <v>0.110429</v>
      </c>
      <c r="E104" s="29">
        <v>143.61534399999999</v>
      </c>
      <c r="F104" s="29" t="s">
        <v>188</v>
      </c>
      <c r="G104" s="29" t="s">
        <v>184</v>
      </c>
      <c r="H104" s="29">
        <v>64</v>
      </c>
      <c r="I104" s="29">
        <v>1</v>
      </c>
      <c r="J104" s="29">
        <v>32</v>
      </c>
      <c r="K104" s="29">
        <v>32</v>
      </c>
      <c r="L104" s="29">
        <v>1</v>
      </c>
      <c r="M104" s="29">
        <v>1</v>
      </c>
      <c r="N104" s="29">
        <v>2</v>
      </c>
      <c r="O104" s="29">
        <v>256</v>
      </c>
      <c r="P104" s="30">
        <f t="shared" si="3"/>
        <v>6.963044283067692</v>
      </c>
      <c r="U104" s="27" t="s">
        <v>188</v>
      </c>
      <c r="V104" s="27" t="s">
        <v>207</v>
      </c>
    </row>
    <row r="105" spans="1:22" x14ac:dyDescent="0.25">
      <c r="A105" s="31" t="str">
        <f t="shared" si="2"/>
        <v>./specmcf/l2d_assoc.4</v>
      </c>
      <c r="B105" s="32">
        <v>1.14703</v>
      </c>
      <c r="C105" s="32">
        <v>0.154281</v>
      </c>
      <c r="D105" s="32">
        <v>0.110208</v>
      </c>
      <c r="E105" s="32">
        <v>143.414883</v>
      </c>
      <c r="F105" s="32" t="s">
        <v>188</v>
      </c>
      <c r="G105" s="32" t="s">
        <v>194</v>
      </c>
      <c r="H105" s="32">
        <v>64</v>
      </c>
      <c r="I105" s="32">
        <v>1</v>
      </c>
      <c r="J105" s="32">
        <v>32</v>
      </c>
      <c r="K105" s="32">
        <v>32</v>
      </c>
      <c r="L105" s="32">
        <v>1</v>
      </c>
      <c r="M105" s="32">
        <v>1</v>
      </c>
      <c r="N105" s="32">
        <v>4</v>
      </c>
      <c r="O105" s="32">
        <v>512</v>
      </c>
      <c r="P105" s="33">
        <f t="shared" si="3"/>
        <v>6.9727770164551188</v>
      </c>
      <c r="U105" s="27" t="s">
        <v>188</v>
      </c>
      <c r="V105" s="27" t="s">
        <v>208</v>
      </c>
    </row>
    <row r="106" spans="1:22" x14ac:dyDescent="0.25">
      <c r="A106" s="31" t="str">
        <f t="shared" si="2"/>
        <v>./specmcf/l1i_assoc.2</v>
      </c>
      <c r="B106" s="32">
        <v>1.14927</v>
      </c>
      <c r="C106" s="32">
        <v>0.154252</v>
      </c>
      <c r="D106" s="32">
        <v>0.110232</v>
      </c>
      <c r="E106" s="32">
        <v>143.68983700000001</v>
      </c>
      <c r="F106" s="32" t="s">
        <v>188</v>
      </c>
      <c r="G106" s="32" t="s">
        <v>193</v>
      </c>
      <c r="H106" s="32">
        <v>64</v>
      </c>
      <c r="I106" s="32">
        <v>1</v>
      </c>
      <c r="J106" s="32">
        <v>32</v>
      </c>
      <c r="K106" s="32">
        <v>32</v>
      </c>
      <c r="L106" s="32">
        <v>1</v>
      </c>
      <c r="M106" s="32">
        <v>2</v>
      </c>
      <c r="N106" s="32">
        <v>2</v>
      </c>
      <c r="O106" s="32">
        <v>512</v>
      </c>
      <c r="P106" s="33">
        <f t="shared" si="3"/>
        <v>6.9594344379414945</v>
      </c>
      <c r="U106" s="27" t="s">
        <v>188</v>
      </c>
      <c r="V106" s="27" t="s">
        <v>209</v>
      </c>
    </row>
    <row r="107" spans="1:22" x14ac:dyDescent="0.25">
      <c r="A107" s="31" t="str">
        <f t="shared" si="2"/>
        <v>./specmcf/l1d.64kB_l1i.128kB</v>
      </c>
      <c r="B107" s="32">
        <v>1.83192</v>
      </c>
      <c r="C107" s="32">
        <v>0.37742399999999998</v>
      </c>
      <c r="D107" s="32">
        <v>0.109947</v>
      </c>
      <c r="E107" s="32">
        <v>242.91074499999999</v>
      </c>
      <c r="F107" s="32" t="s">
        <v>188</v>
      </c>
      <c r="G107" s="32" t="s">
        <v>191</v>
      </c>
      <c r="H107" s="32">
        <v>64</v>
      </c>
      <c r="I107" s="32">
        <v>1</v>
      </c>
      <c r="J107" s="32">
        <v>64</v>
      </c>
      <c r="K107" s="32">
        <v>128</v>
      </c>
      <c r="L107" s="32">
        <v>1</v>
      </c>
      <c r="M107" s="32">
        <v>1</v>
      </c>
      <c r="N107" s="32">
        <v>2</v>
      </c>
      <c r="O107" s="32">
        <v>512</v>
      </c>
      <c r="P107" s="33">
        <f t="shared" si="3"/>
        <v>4.1167384341108502</v>
      </c>
      <c r="U107" s="27" t="s">
        <v>188</v>
      </c>
      <c r="V107" s="27" t="s">
        <v>210</v>
      </c>
    </row>
    <row r="108" spans="1:22" x14ac:dyDescent="0.25">
      <c r="A108" s="31" t="str">
        <f t="shared" si="2"/>
        <v>./specmcf/l1d.16kB_l1i.32kB</v>
      </c>
      <c r="B108" s="32">
        <v>0.73653299999999999</v>
      </c>
      <c r="C108" s="32">
        <v>0.14941299999999999</v>
      </c>
      <c r="D108" s="32">
        <v>0.11445</v>
      </c>
      <c r="E108" s="32">
        <v>101.39652</v>
      </c>
      <c r="F108" s="32" t="s">
        <v>188</v>
      </c>
      <c r="G108" s="32" t="s">
        <v>191</v>
      </c>
      <c r="H108" s="32">
        <v>64</v>
      </c>
      <c r="I108" s="32">
        <v>1</v>
      </c>
      <c r="J108" s="32">
        <v>16</v>
      </c>
      <c r="K108" s="32">
        <v>32</v>
      </c>
      <c r="L108" s="32">
        <v>1</v>
      </c>
      <c r="M108" s="32">
        <v>1</v>
      </c>
      <c r="N108" s="32">
        <v>2</v>
      </c>
      <c r="O108" s="32">
        <v>512</v>
      </c>
      <c r="P108" s="33">
        <f t="shared" si="3"/>
        <v>9.8622714073421847</v>
      </c>
      <c r="U108" s="27" t="s">
        <v>188</v>
      </c>
      <c r="V108" s="27" t="s">
        <v>211</v>
      </c>
    </row>
    <row r="109" spans="1:22" x14ac:dyDescent="0.25">
      <c r="A109" s="31" t="str">
        <f t="shared" si="2"/>
        <v>./specmcf/cpu_clock.1GHz</v>
      </c>
      <c r="B109" s="32">
        <v>1.14703</v>
      </c>
      <c r="C109" s="32">
        <v>0.15427099999999999</v>
      </c>
      <c r="D109" s="32">
        <v>0.110225</v>
      </c>
      <c r="E109" s="32">
        <v>143.435903</v>
      </c>
      <c r="F109" s="32" t="s">
        <v>188</v>
      </c>
      <c r="G109" s="32" t="s">
        <v>195</v>
      </c>
      <c r="H109" s="32">
        <v>64</v>
      </c>
      <c r="I109" s="32">
        <v>1</v>
      </c>
      <c r="J109" s="32">
        <v>32</v>
      </c>
      <c r="K109" s="32">
        <v>32</v>
      </c>
      <c r="L109" s="32">
        <v>1</v>
      </c>
      <c r="M109" s="32">
        <v>1</v>
      </c>
      <c r="N109" s="32">
        <v>2</v>
      </c>
      <c r="O109" s="32">
        <v>512</v>
      </c>
      <c r="P109" s="33">
        <f t="shared" si="3"/>
        <v>6.9717551818250136</v>
      </c>
      <c r="U109" s="27" t="s">
        <v>188</v>
      </c>
      <c r="V109" s="27" t="s">
        <v>212</v>
      </c>
    </row>
    <row r="110" spans="1:22" x14ac:dyDescent="0.25">
      <c r="A110" s="31" t="str">
        <f t="shared" si="2"/>
        <v>./specmcf/l1d.32kB_l1i.64kB</v>
      </c>
      <c r="B110" s="32">
        <v>1.14703</v>
      </c>
      <c r="C110" s="32">
        <v>0.15427099999999999</v>
      </c>
      <c r="D110" s="32">
        <v>0.110225</v>
      </c>
      <c r="E110" s="32">
        <v>143.435903</v>
      </c>
      <c r="F110" s="32" t="s">
        <v>188</v>
      </c>
      <c r="G110" s="32" t="s">
        <v>191</v>
      </c>
      <c r="H110" s="32">
        <v>64</v>
      </c>
      <c r="I110" s="32">
        <v>1</v>
      </c>
      <c r="J110" s="32">
        <v>32</v>
      </c>
      <c r="K110" s="32">
        <v>64</v>
      </c>
      <c r="L110" s="32">
        <v>1</v>
      </c>
      <c r="M110" s="32">
        <v>1</v>
      </c>
      <c r="N110" s="32">
        <v>2</v>
      </c>
      <c r="O110" s="32">
        <v>512</v>
      </c>
      <c r="P110" s="33">
        <f t="shared" si="3"/>
        <v>6.9717551818250136</v>
      </c>
      <c r="U110" s="27" t="s">
        <v>188</v>
      </c>
      <c r="V110" s="27" t="s">
        <v>213</v>
      </c>
    </row>
    <row r="111" spans="1:22" x14ac:dyDescent="0.25">
      <c r="A111" s="31" t="str">
        <f t="shared" si="2"/>
        <v>./specmcf/l2d_assoc.1</v>
      </c>
      <c r="B111" s="32">
        <v>1.1470199999999999</v>
      </c>
      <c r="C111" s="32">
        <v>0.15416099999999999</v>
      </c>
      <c r="D111" s="32">
        <v>0.110362</v>
      </c>
      <c r="E111" s="32">
        <v>143.60093800000001</v>
      </c>
      <c r="F111" s="32" t="s">
        <v>188</v>
      </c>
      <c r="G111" s="32" t="s">
        <v>194</v>
      </c>
      <c r="H111" s="32">
        <v>64</v>
      </c>
      <c r="I111" s="32">
        <v>1</v>
      </c>
      <c r="J111" s="32">
        <v>32</v>
      </c>
      <c r="K111" s="32">
        <v>32</v>
      </c>
      <c r="L111" s="32">
        <v>1</v>
      </c>
      <c r="M111" s="32">
        <v>1</v>
      </c>
      <c r="N111" s="32">
        <v>1</v>
      </c>
      <c r="O111" s="32">
        <v>512</v>
      </c>
      <c r="P111" s="33">
        <f t="shared" si="3"/>
        <v>6.9637428134348252</v>
      </c>
      <c r="U111" s="27" t="s">
        <v>188</v>
      </c>
      <c r="V111" s="27" t="s">
        <v>214</v>
      </c>
    </row>
    <row r="112" spans="1:22" x14ac:dyDescent="0.25">
      <c r="A112" s="31" t="str">
        <f t="shared" si="2"/>
        <v>./specmcf/l1i_assoc.1</v>
      </c>
      <c r="B112" s="32">
        <v>1.14703</v>
      </c>
      <c r="C112" s="32">
        <v>0.15427099999999999</v>
      </c>
      <c r="D112" s="32">
        <v>0.110225</v>
      </c>
      <c r="E112" s="32">
        <v>143.435903</v>
      </c>
      <c r="F112" s="32" t="s">
        <v>188</v>
      </c>
      <c r="G112" s="32" t="s">
        <v>193</v>
      </c>
      <c r="H112" s="32">
        <v>64</v>
      </c>
      <c r="I112" s="32">
        <v>1</v>
      </c>
      <c r="J112" s="32">
        <v>32</v>
      </c>
      <c r="K112" s="32">
        <v>32</v>
      </c>
      <c r="L112" s="32">
        <v>1</v>
      </c>
      <c r="M112" s="32">
        <v>1</v>
      </c>
      <c r="N112" s="32">
        <v>2</v>
      </c>
      <c r="O112" s="32">
        <v>512</v>
      </c>
      <c r="P112" s="33">
        <f t="shared" si="3"/>
        <v>6.9717551818250136</v>
      </c>
      <c r="U112" s="27" t="s">
        <v>188</v>
      </c>
      <c r="V112" s="27" t="s">
        <v>215</v>
      </c>
    </row>
    <row r="113" spans="1:22" x14ac:dyDescent="0.25">
      <c r="A113" s="31" t="str">
        <f t="shared" si="2"/>
        <v>./specmcf/l1d.32kB_l1i.32kB</v>
      </c>
      <c r="B113" s="32">
        <v>0.74404700000000001</v>
      </c>
      <c r="C113" s="32">
        <v>0.15312700000000001</v>
      </c>
      <c r="D113" s="32">
        <v>0.11278000000000001</v>
      </c>
      <c r="E113" s="32">
        <v>101.183284</v>
      </c>
      <c r="F113" s="32" t="s">
        <v>188</v>
      </c>
      <c r="G113" s="32" t="s">
        <v>191</v>
      </c>
      <c r="H113" s="32">
        <v>64</v>
      </c>
      <c r="I113" s="32">
        <v>1</v>
      </c>
      <c r="J113" s="32">
        <v>32</v>
      </c>
      <c r="K113" s="32">
        <v>32</v>
      </c>
      <c r="L113" s="32">
        <v>1</v>
      </c>
      <c r="M113" s="32">
        <v>1</v>
      </c>
      <c r="N113" s="32">
        <v>2</v>
      </c>
      <c r="O113" s="32">
        <v>512</v>
      </c>
      <c r="P113" s="33">
        <f t="shared" si="3"/>
        <v>9.8830553868957249</v>
      </c>
      <c r="U113" s="27" t="s">
        <v>188</v>
      </c>
      <c r="V113" s="27" t="s">
        <v>216</v>
      </c>
    </row>
    <row r="114" spans="1:22" x14ac:dyDescent="0.25">
      <c r="A114" s="31" t="str">
        <f t="shared" si="2"/>
        <v>./specmcf/l1i_assoc.4</v>
      </c>
      <c r="B114" s="32">
        <v>0.87417199999999995</v>
      </c>
      <c r="C114" s="32">
        <v>0.15426200000000001</v>
      </c>
      <c r="D114" s="32">
        <v>0.110224</v>
      </c>
      <c r="E114" s="32">
        <v>113.358109</v>
      </c>
      <c r="F114" s="32" t="s">
        <v>188</v>
      </c>
      <c r="G114" s="32" t="s">
        <v>193</v>
      </c>
      <c r="H114" s="32">
        <v>64</v>
      </c>
      <c r="I114" s="32">
        <v>1</v>
      </c>
      <c r="J114" s="32">
        <v>32</v>
      </c>
      <c r="K114" s="32">
        <v>32</v>
      </c>
      <c r="L114" s="32">
        <v>1</v>
      </c>
      <c r="M114" s="32">
        <v>4</v>
      </c>
      <c r="N114" s="32">
        <v>2</v>
      </c>
      <c r="O114" s="32">
        <v>512</v>
      </c>
      <c r="P114" s="33">
        <f t="shared" si="3"/>
        <v>8.8216009319633226</v>
      </c>
      <c r="U114" s="27" t="s">
        <v>188</v>
      </c>
      <c r="V114" s="27" t="s">
        <v>217</v>
      </c>
    </row>
    <row r="115" spans="1:22" x14ac:dyDescent="0.25">
      <c r="A115" s="31" t="str">
        <f t="shared" si="2"/>
        <v>./specmcf/l1d.128kB_l1i.16kB</v>
      </c>
      <c r="B115" s="32">
        <v>1.4214199999999999</v>
      </c>
      <c r="C115" s="32">
        <v>0.381164</v>
      </c>
      <c r="D115" s="32">
        <v>0.145347</v>
      </c>
      <c r="E115" s="32">
        <v>262.00017700000001</v>
      </c>
      <c r="F115" s="32" t="s">
        <v>188</v>
      </c>
      <c r="G115" s="32" t="s">
        <v>191</v>
      </c>
      <c r="H115" s="32">
        <v>64</v>
      </c>
      <c r="I115" s="32">
        <v>1</v>
      </c>
      <c r="J115" s="32">
        <v>128</v>
      </c>
      <c r="K115" s="32">
        <v>16</v>
      </c>
      <c r="L115" s="32">
        <v>1</v>
      </c>
      <c r="M115" s="32">
        <v>1</v>
      </c>
      <c r="N115" s="32">
        <v>2</v>
      </c>
      <c r="O115" s="32">
        <v>512</v>
      </c>
      <c r="P115" s="33">
        <f t="shared" si="3"/>
        <v>3.8167913146104473</v>
      </c>
      <c r="U115" s="27" t="s">
        <v>188</v>
      </c>
      <c r="V115" s="27" t="s">
        <v>218</v>
      </c>
    </row>
    <row r="116" spans="1:22" x14ac:dyDescent="0.25">
      <c r="A116" s="31" t="str">
        <f t="shared" si="2"/>
        <v>./specmcf/l1d_assoc.2</v>
      </c>
      <c r="B116" s="32">
        <v>1.1473599999999999</v>
      </c>
      <c r="C116" s="32">
        <v>0.16240199999999999</v>
      </c>
      <c r="D116" s="32">
        <v>0.10981</v>
      </c>
      <c r="E116" s="32">
        <v>143.82496499999999</v>
      </c>
      <c r="F116" s="32" t="s">
        <v>188</v>
      </c>
      <c r="G116" s="32" t="s">
        <v>192</v>
      </c>
      <c r="H116" s="32">
        <v>64</v>
      </c>
      <c r="I116" s="32">
        <v>1</v>
      </c>
      <c r="J116" s="32">
        <v>32</v>
      </c>
      <c r="K116" s="32">
        <v>32</v>
      </c>
      <c r="L116" s="32">
        <v>2</v>
      </c>
      <c r="M116" s="32">
        <v>1</v>
      </c>
      <c r="N116" s="32">
        <v>2</v>
      </c>
      <c r="O116" s="32">
        <v>512</v>
      </c>
      <c r="P116" s="33">
        <f t="shared" si="3"/>
        <v>6.9528958341828906</v>
      </c>
      <c r="U116" s="27" t="s">
        <v>188</v>
      </c>
      <c r="V116" s="27" t="s">
        <v>219</v>
      </c>
    </row>
    <row r="117" spans="1:22" x14ac:dyDescent="0.25">
      <c r="A117" s="31" t="str">
        <f t="shared" si="2"/>
        <v>./specmcf/l1d.128kB_l1i.128kB</v>
      </c>
      <c r="B117" s="32">
        <v>2.1138300000000001</v>
      </c>
      <c r="C117" s="32">
        <v>0.473134</v>
      </c>
      <c r="D117" s="32">
        <v>0.10975799999999999</v>
      </c>
      <c r="E117" s="32">
        <v>283.93999500000001</v>
      </c>
      <c r="F117" s="32" t="s">
        <v>188</v>
      </c>
      <c r="G117" s="32" t="s">
        <v>191</v>
      </c>
      <c r="H117" s="32">
        <v>64</v>
      </c>
      <c r="I117" s="32">
        <v>1</v>
      </c>
      <c r="J117" s="32">
        <v>128</v>
      </c>
      <c r="K117" s="32">
        <v>128</v>
      </c>
      <c r="L117" s="32">
        <v>1</v>
      </c>
      <c r="M117" s="32">
        <v>1</v>
      </c>
      <c r="N117" s="32">
        <v>2</v>
      </c>
      <c r="O117" s="32">
        <v>512</v>
      </c>
      <c r="P117" s="33">
        <f t="shared" si="3"/>
        <v>3.5218708797962752</v>
      </c>
      <c r="U117" s="27" t="s">
        <v>188</v>
      </c>
      <c r="V117" s="27" t="s">
        <v>220</v>
      </c>
    </row>
    <row r="118" spans="1:22" x14ac:dyDescent="0.25">
      <c r="A118" s="31" t="str">
        <f t="shared" si="2"/>
        <v>./specmcf/l2_size.2MB</v>
      </c>
      <c r="B118" s="32">
        <v>1.15062</v>
      </c>
      <c r="C118" s="32">
        <v>0.155027</v>
      </c>
      <c r="D118" s="32">
        <v>0.109768</v>
      </c>
      <c r="E118" s="32">
        <v>143.31826000000001</v>
      </c>
      <c r="F118" s="32" t="s">
        <v>188</v>
      </c>
      <c r="G118" s="32" t="s">
        <v>184</v>
      </c>
      <c r="H118" s="32">
        <v>64</v>
      </c>
      <c r="I118" s="32">
        <v>1</v>
      </c>
      <c r="J118" s="32">
        <v>32</v>
      </c>
      <c r="K118" s="32">
        <v>32</v>
      </c>
      <c r="L118" s="32">
        <v>1</v>
      </c>
      <c r="M118" s="32">
        <v>1</v>
      </c>
      <c r="N118" s="32">
        <v>2</v>
      </c>
      <c r="O118" s="32">
        <v>2048</v>
      </c>
      <c r="P118" s="33">
        <f t="shared" si="3"/>
        <v>6.9774779571005112</v>
      </c>
      <c r="U118" s="27" t="s">
        <v>188</v>
      </c>
      <c r="V118" s="27" t="s">
        <v>221</v>
      </c>
    </row>
    <row r="119" spans="1:22" x14ac:dyDescent="0.25">
      <c r="A119" s="31" t="str">
        <f t="shared" si="2"/>
        <v>./specmcf/l1d_assoc.1</v>
      </c>
      <c r="B119" s="32">
        <v>1.14703</v>
      </c>
      <c r="C119" s="32">
        <v>0.15427099999999999</v>
      </c>
      <c r="D119" s="32">
        <v>0.110225</v>
      </c>
      <c r="E119" s="32">
        <v>143.435903</v>
      </c>
      <c r="F119" s="32" t="s">
        <v>188</v>
      </c>
      <c r="G119" s="32" t="s">
        <v>192</v>
      </c>
      <c r="H119" s="32">
        <v>64</v>
      </c>
      <c r="I119" s="32">
        <v>1</v>
      </c>
      <c r="J119" s="32">
        <v>32</v>
      </c>
      <c r="K119" s="32">
        <v>32</v>
      </c>
      <c r="L119" s="32">
        <v>1</v>
      </c>
      <c r="M119" s="32">
        <v>1</v>
      </c>
      <c r="N119" s="32">
        <v>2</v>
      </c>
      <c r="O119" s="32">
        <v>512</v>
      </c>
      <c r="P119" s="33">
        <f t="shared" si="3"/>
        <v>6.9717551818250136</v>
      </c>
      <c r="U119" s="27" t="s">
        <v>188</v>
      </c>
      <c r="V119" s="27" t="s">
        <v>222</v>
      </c>
    </row>
    <row r="120" spans="1:22" x14ac:dyDescent="0.25">
      <c r="A120" s="31" t="str">
        <f t="shared" si="2"/>
        <v>./specmcf/l1d.32kB_l1i.16kB</v>
      </c>
      <c r="B120" s="32">
        <v>0.73653299999999999</v>
      </c>
      <c r="C120" s="32">
        <v>0.14050699999999999</v>
      </c>
      <c r="D120" s="32">
        <v>0.14570900000000001</v>
      </c>
      <c r="E120" s="32">
        <v>127.792621</v>
      </c>
      <c r="F120" s="32" t="s">
        <v>188</v>
      </c>
      <c r="G120" s="32" t="s">
        <v>191</v>
      </c>
      <c r="H120" s="32">
        <v>64</v>
      </c>
      <c r="I120" s="32">
        <v>1</v>
      </c>
      <c r="J120" s="32">
        <v>32</v>
      </c>
      <c r="K120" s="32">
        <v>16</v>
      </c>
      <c r="L120" s="32">
        <v>1</v>
      </c>
      <c r="M120" s="32">
        <v>1</v>
      </c>
      <c r="N120" s="32">
        <v>2</v>
      </c>
      <c r="O120" s="32">
        <v>512</v>
      </c>
      <c r="P120" s="33">
        <f t="shared" si="3"/>
        <v>7.8251779498285741</v>
      </c>
      <c r="U120" s="27" t="s">
        <v>188</v>
      </c>
      <c r="V120" s="27" t="s">
        <v>223</v>
      </c>
    </row>
    <row r="121" spans="1:22" x14ac:dyDescent="0.25">
      <c r="A121" s="31" t="str">
        <f t="shared" si="2"/>
        <v>./specmcf/l1d.64kB_l1i.32kB</v>
      </c>
      <c r="B121" s="32">
        <v>1.14703</v>
      </c>
      <c r="C121" s="32">
        <v>0.37144700000000003</v>
      </c>
      <c r="D121" s="32">
        <v>0.112426</v>
      </c>
      <c r="E121" s="32">
        <v>170.716295</v>
      </c>
      <c r="F121" s="32" t="s">
        <v>188</v>
      </c>
      <c r="G121" s="32" t="s">
        <v>191</v>
      </c>
      <c r="H121" s="32">
        <v>64</v>
      </c>
      <c r="I121" s="32">
        <v>1</v>
      </c>
      <c r="J121" s="32">
        <v>64</v>
      </c>
      <c r="K121" s="32">
        <v>32</v>
      </c>
      <c r="L121" s="32">
        <v>1</v>
      </c>
      <c r="M121" s="32">
        <v>1</v>
      </c>
      <c r="N121" s="32">
        <v>2</v>
      </c>
      <c r="O121" s="32">
        <v>512</v>
      </c>
      <c r="P121" s="33">
        <f t="shared" si="3"/>
        <v>5.8576716417141084</v>
      </c>
      <c r="U121" s="27" t="s">
        <v>188</v>
      </c>
      <c r="V121" s="27" t="s">
        <v>224</v>
      </c>
    </row>
    <row r="122" spans="1:22" x14ac:dyDescent="0.25">
      <c r="A122" s="31" t="str">
        <f t="shared" si="2"/>
        <v>./specmcf/l1d.64kB_l1i.16kB</v>
      </c>
      <c r="B122" s="32">
        <v>1.13951</v>
      </c>
      <c r="C122" s="32">
        <v>0.30913400000000002</v>
      </c>
      <c r="D122" s="32">
        <v>0.145458</v>
      </c>
      <c r="E122" s="32">
        <v>210.716859</v>
      </c>
      <c r="F122" s="32" t="s">
        <v>188</v>
      </c>
      <c r="G122" s="32" t="s">
        <v>191</v>
      </c>
      <c r="H122" s="32">
        <v>64</v>
      </c>
      <c r="I122" s="32">
        <v>1</v>
      </c>
      <c r="J122" s="32">
        <v>64</v>
      </c>
      <c r="K122" s="32">
        <v>16</v>
      </c>
      <c r="L122" s="32">
        <v>1</v>
      </c>
      <c r="M122" s="32">
        <v>1</v>
      </c>
      <c r="N122" s="32">
        <v>2</v>
      </c>
      <c r="O122" s="32">
        <v>512</v>
      </c>
      <c r="P122" s="33">
        <f t="shared" si="3"/>
        <v>4.7457047563526942</v>
      </c>
      <c r="U122" s="27" t="s">
        <v>188</v>
      </c>
      <c r="V122" s="27" t="s">
        <v>225</v>
      </c>
    </row>
    <row r="123" spans="1:22" x14ac:dyDescent="0.25">
      <c r="A123" s="31" t="str">
        <f t="shared" si="2"/>
        <v>./specmcf/l1d.32kB_l1i.128kB</v>
      </c>
      <c r="B123" s="32">
        <v>1.4289400000000001</v>
      </c>
      <c r="C123" s="32">
        <v>0.15426100000000001</v>
      </c>
      <c r="D123" s="32">
        <v>0.110232</v>
      </c>
      <c r="E123" s="32">
        <v>174.51941299999999</v>
      </c>
      <c r="F123" s="32" t="s">
        <v>188</v>
      </c>
      <c r="G123" s="32" t="s">
        <v>191</v>
      </c>
      <c r="H123" s="32">
        <v>64</v>
      </c>
      <c r="I123" s="32">
        <v>1</v>
      </c>
      <c r="J123" s="32">
        <v>32</v>
      </c>
      <c r="K123" s="32">
        <v>128</v>
      </c>
      <c r="L123" s="32">
        <v>1</v>
      </c>
      <c r="M123" s="32">
        <v>1</v>
      </c>
      <c r="N123" s="32">
        <v>2</v>
      </c>
      <c r="O123" s="32">
        <v>512</v>
      </c>
      <c r="P123" s="33">
        <f t="shared" si="3"/>
        <v>5.7300215649934607</v>
      </c>
      <c r="U123" s="27" t="s">
        <v>188</v>
      </c>
      <c r="V123" s="27" t="s">
        <v>226</v>
      </c>
    </row>
    <row r="124" spans="1:22" x14ac:dyDescent="0.25">
      <c r="A124" s="31" t="str">
        <f t="shared" si="2"/>
        <v>./specmcf/l2d_assoc.2</v>
      </c>
      <c r="B124" s="32">
        <v>1.14703</v>
      </c>
      <c r="C124" s="32">
        <v>0.15427099999999999</v>
      </c>
      <c r="D124" s="32">
        <v>0.110225</v>
      </c>
      <c r="E124" s="32">
        <v>143.435903</v>
      </c>
      <c r="F124" s="32" t="s">
        <v>188</v>
      </c>
      <c r="G124" s="32" t="s">
        <v>194</v>
      </c>
      <c r="H124" s="32">
        <v>64</v>
      </c>
      <c r="I124" s="32">
        <v>1</v>
      </c>
      <c r="J124" s="32">
        <v>32</v>
      </c>
      <c r="K124" s="32">
        <v>32</v>
      </c>
      <c r="L124" s="32">
        <v>1</v>
      </c>
      <c r="M124" s="32">
        <v>1</v>
      </c>
      <c r="N124" s="32">
        <v>2</v>
      </c>
      <c r="O124" s="32">
        <v>512</v>
      </c>
      <c r="P124" s="33">
        <f t="shared" si="3"/>
        <v>6.9717551818250136</v>
      </c>
      <c r="U124" s="27" t="s">
        <v>188</v>
      </c>
      <c r="V124" s="27" t="s">
        <v>227</v>
      </c>
    </row>
    <row r="125" spans="1:22" x14ac:dyDescent="0.25">
      <c r="A125" s="31" t="str">
        <f t="shared" si="2"/>
        <v>./specmcf/l1d_assoc.4</v>
      </c>
      <c r="B125" s="32">
        <v>1.22661</v>
      </c>
      <c r="C125" s="32">
        <v>0.32146400000000003</v>
      </c>
      <c r="D125" s="32">
        <v>0.10976</v>
      </c>
      <c r="E125" s="32">
        <v>169.91660200000001</v>
      </c>
      <c r="F125" s="32" t="s">
        <v>188</v>
      </c>
      <c r="G125" s="32" t="s">
        <v>192</v>
      </c>
      <c r="H125" s="32">
        <v>64</v>
      </c>
      <c r="I125" s="32">
        <v>1</v>
      </c>
      <c r="J125" s="32">
        <v>32</v>
      </c>
      <c r="K125" s="32">
        <v>32</v>
      </c>
      <c r="L125" s="32">
        <v>4</v>
      </c>
      <c r="M125" s="32">
        <v>1</v>
      </c>
      <c r="N125" s="32">
        <v>2</v>
      </c>
      <c r="O125" s="32">
        <v>512</v>
      </c>
      <c r="P125" s="33">
        <f t="shared" si="3"/>
        <v>5.8852401014940261</v>
      </c>
      <c r="U125" s="27" t="s">
        <v>188</v>
      </c>
      <c r="V125" s="27" t="s">
        <v>228</v>
      </c>
    </row>
    <row r="126" spans="1:22" x14ac:dyDescent="0.25">
      <c r="A126" s="31" t="str">
        <f t="shared" si="2"/>
        <v>./specmcf/cacheline.128</v>
      </c>
      <c r="B126" s="32">
        <v>1.1059399999999999</v>
      </c>
      <c r="C126" s="32">
        <v>0.19298399999999999</v>
      </c>
      <c r="D126" s="32">
        <v>0.10883</v>
      </c>
      <c r="E126" s="32">
        <v>141.36189899999999</v>
      </c>
      <c r="F126" s="32" t="s">
        <v>188</v>
      </c>
      <c r="G126" s="32" t="s">
        <v>190</v>
      </c>
      <c r="H126" s="32">
        <v>128</v>
      </c>
      <c r="I126" s="32">
        <v>1</v>
      </c>
      <c r="J126" s="32">
        <v>32</v>
      </c>
      <c r="K126" s="32">
        <v>32</v>
      </c>
      <c r="L126" s="32">
        <v>1</v>
      </c>
      <c r="M126" s="32">
        <v>1</v>
      </c>
      <c r="N126" s="32">
        <v>2</v>
      </c>
      <c r="O126" s="32">
        <v>512</v>
      </c>
      <c r="P126" s="33">
        <f t="shared" si="3"/>
        <v>7.074041924125539</v>
      </c>
      <c r="U126" s="27" t="s">
        <v>188</v>
      </c>
      <c r="V126" s="27" t="s">
        <v>229</v>
      </c>
    </row>
    <row r="127" spans="1:22" x14ac:dyDescent="0.25">
      <c r="A127" s="31" t="str">
        <f t="shared" si="2"/>
        <v>./specmcf/l1d.16kB_l1i.16kB</v>
      </c>
      <c r="B127" s="32">
        <v>0.72901800000000005</v>
      </c>
      <c r="C127" s="32">
        <v>0.137683</v>
      </c>
      <c r="D127" s="32">
        <v>0.14724400000000001</v>
      </c>
      <c r="E127" s="32">
        <v>127.616522</v>
      </c>
      <c r="F127" s="32" t="s">
        <v>188</v>
      </c>
      <c r="G127" s="32" t="s">
        <v>191</v>
      </c>
      <c r="H127" s="32">
        <v>64</v>
      </c>
      <c r="I127" s="32">
        <v>1</v>
      </c>
      <c r="J127" s="32">
        <v>16</v>
      </c>
      <c r="K127" s="32">
        <v>16</v>
      </c>
      <c r="L127" s="32">
        <v>1</v>
      </c>
      <c r="M127" s="32">
        <v>1</v>
      </c>
      <c r="N127" s="32">
        <v>2</v>
      </c>
      <c r="O127" s="32">
        <v>512</v>
      </c>
      <c r="P127" s="33">
        <f t="shared" si="3"/>
        <v>7.8359759718259667</v>
      </c>
      <c r="U127" s="27" t="s">
        <v>188</v>
      </c>
      <c r="V127" s="27" t="s">
        <v>230</v>
      </c>
    </row>
    <row r="128" spans="1:22" x14ac:dyDescent="0.25">
      <c r="A128" s="31" t="str">
        <f t="shared" si="2"/>
        <v>./specmcf/l2_size.512kB</v>
      </c>
      <c r="B128" s="32">
        <v>1.14703</v>
      </c>
      <c r="C128" s="32">
        <v>0.15427099999999999</v>
      </c>
      <c r="D128" s="32">
        <v>0.110225</v>
      </c>
      <c r="E128" s="32">
        <v>143.435903</v>
      </c>
      <c r="F128" s="32" t="s">
        <v>188</v>
      </c>
      <c r="G128" s="32" t="s">
        <v>184</v>
      </c>
      <c r="H128" s="32">
        <v>64</v>
      </c>
      <c r="I128" s="32">
        <v>1</v>
      </c>
      <c r="J128" s="32">
        <v>32</v>
      </c>
      <c r="K128" s="32">
        <v>32</v>
      </c>
      <c r="L128" s="32">
        <v>1</v>
      </c>
      <c r="M128" s="32">
        <v>1</v>
      </c>
      <c r="N128" s="32">
        <v>2</v>
      </c>
      <c r="O128" s="32">
        <v>512</v>
      </c>
      <c r="P128" s="33">
        <f t="shared" si="3"/>
        <v>6.9717551818250136</v>
      </c>
      <c r="U128" s="27" t="s">
        <v>188</v>
      </c>
      <c r="V128" s="27" t="s">
        <v>231</v>
      </c>
    </row>
    <row r="129" spans="1:22" x14ac:dyDescent="0.25">
      <c r="A129" s="31" t="str">
        <f t="shared" si="2"/>
        <v>./specmcf/cacheline.64</v>
      </c>
      <c r="B129" s="32">
        <v>1.14703</v>
      </c>
      <c r="C129" s="32">
        <v>0.15427099999999999</v>
      </c>
      <c r="D129" s="32">
        <v>0.110225</v>
      </c>
      <c r="E129" s="32">
        <v>143.435903</v>
      </c>
      <c r="F129" s="32" t="s">
        <v>188</v>
      </c>
      <c r="G129" s="32" t="s">
        <v>190</v>
      </c>
      <c r="H129" s="32">
        <v>64</v>
      </c>
      <c r="I129" s="32">
        <v>1</v>
      </c>
      <c r="J129" s="32">
        <v>32</v>
      </c>
      <c r="K129" s="32">
        <v>32</v>
      </c>
      <c r="L129" s="32">
        <v>1</v>
      </c>
      <c r="M129" s="32">
        <v>1</v>
      </c>
      <c r="N129" s="32">
        <v>2</v>
      </c>
      <c r="O129" s="32">
        <v>512</v>
      </c>
      <c r="P129" s="33">
        <f t="shared" si="3"/>
        <v>6.9717551818250136</v>
      </c>
      <c r="U129" s="27" t="s">
        <v>188</v>
      </c>
      <c r="V129" s="27" t="s">
        <v>232</v>
      </c>
    </row>
    <row r="130" spans="1:22" x14ac:dyDescent="0.25">
      <c r="A130" s="31" t="str">
        <f t="shared" si="2"/>
        <v>./specmcf/l1d.128kB_l1i.32kB</v>
      </c>
      <c r="B130" s="32">
        <v>1.4289400000000001</v>
      </c>
      <c r="C130" s="32">
        <v>0.46485700000000002</v>
      </c>
      <c r="D130" s="32">
        <v>0.11228100000000001</v>
      </c>
      <c r="E130" s="32">
        <v>212.63742099999999</v>
      </c>
      <c r="F130" s="32" t="s">
        <v>188</v>
      </c>
      <c r="G130" s="32" t="s">
        <v>191</v>
      </c>
      <c r="H130" s="32">
        <v>64</v>
      </c>
      <c r="I130" s="32">
        <v>1</v>
      </c>
      <c r="J130" s="32">
        <v>128</v>
      </c>
      <c r="K130" s="32">
        <v>32</v>
      </c>
      <c r="L130" s="32">
        <v>1</v>
      </c>
      <c r="M130" s="32">
        <v>1</v>
      </c>
      <c r="N130" s="32">
        <v>2</v>
      </c>
      <c r="O130" s="32">
        <v>512</v>
      </c>
      <c r="P130" s="33">
        <f t="shared" si="3"/>
        <v>4.7028410864708521</v>
      </c>
      <c r="U130" s="27" t="s">
        <v>188</v>
      </c>
      <c r="V130" s="27" t="s">
        <v>233</v>
      </c>
    </row>
    <row r="131" spans="1:22" x14ac:dyDescent="0.25">
      <c r="A131" s="31" t="str">
        <f t="shared" ref="A131:A171" si="4">"./" &amp; U131 &amp; "/" &amp; TRIM(V131)</f>
        <v>./specmcf/l1d.16kB_l1i.64kB</v>
      </c>
      <c r="B131" s="32">
        <v>1.13951</v>
      </c>
      <c r="C131" s="32">
        <v>0.15051400000000001</v>
      </c>
      <c r="D131" s="32">
        <v>0.111843</v>
      </c>
      <c r="E131" s="32">
        <v>144.28015400000001</v>
      </c>
      <c r="F131" s="32" t="s">
        <v>188</v>
      </c>
      <c r="G131" s="32" t="s">
        <v>191</v>
      </c>
      <c r="H131" s="32">
        <v>64</v>
      </c>
      <c r="I131" s="32">
        <v>1</v>
      </c>
      <c r="J131" s="32">
        <v>16</v>
      </c>
      <c r="K131" s="32">
        <v>64</v>
      </c>
      <c r="L131" s="32">
        <v>1</v>
      </c>
      <c r="M131" s="32">
        <v>1</v>
      </c>
      <c r="N131" s="32">
        <v>2</v>
      </c>
      <c r="O131" s="32">
        <v>512</v>
      </c>
      <c r="P131" s="33">
        <f t="shared" ref="P131:P171" si="5">1/E131*1000</f>
        <v>6.9309601651797506</v>
      </c>
      <c r="U131" s="27" t="s">
        <v>188</v>
      </c>
      <c r="V131" s="27" t="s">
        <v>234</v>
      </c>
    </row>
    <row r="132" spans="1:22" x14ac:dyDescent="0.25">
      <c r="A132" s="31" t="str">
        <f t="shared" si="4"/>
        <v>./specmcf/cacheline.32</v>
      </c>
      <c r="B132" s="32">
        <v>0.84024299999999996</v>
      </c>
      <c r="C132" s="32">
        <v>0.1447</v>
      </c>
      <c r="D132" s="32">
        <v>0.112946</v>
      </c>
      <c r="E132" s="32">
        <v>111.245372</v>
      </c>
      <c r="F132" s="32" t="s">
        <v>188</v>
      </c>
      <c r="G132" s="32" t="s">
        <v>190</v>
      </c>
      <c r="H132" s="32">
        <v>32</v>
      </c>
      <c r="I132" s="32">
        <v>1</v>
      </c>
      <c r="J132" s="32">
        <v>32</v>
      </c>
      <c r="K132" s="32">
        <v>32</v>
      </c>
      <c r="L132" s="32">
        <v>1</v>
      </c>
      <c r="M132" s="32">
        <v>1</v>
      </c>
      <c r="N132" s="32">
        <v>2</v>
      </c>
      <c r="O132" s="32">
        <v>512</v>
      </c>
      <c r="P132" s="33">
        <f t="shared" si="5"/>
        <v>8.9891379930843325</v>
      </c>
      <c r="U132" s="27" t="s">
        <v>188</v>
      </c>
      <c r="V132" s="27" t="s">
        <v>235</v>
      </c>
    </row>
    <row r="133" spans="1:22" x14ac:dyDescent="0.25">
      <c r="A133" s="31" t="str">
        <f t="shared" si="4"/>
        <v>./specmcf/l1d.64kB_l1i.64kB</v>
      </c>
      <c r="B133" s="32">
        <v>1.55</v>
      </c>
      <c r="C133" s="32">
        <v>0.377467</v>
      </c>
      <c r="D133" s="32">
        <v>0.109934</v>
      </c>
      <c r="E133" s="32">
        <v>211.89415700000001</v>
      </c>
      <c r="F133" s="32" t="s">
        <v>188</v>
      </c>
      <c r="G133" s="32" t="s">
        <v>191</v>
      </c>
      <c r="H133" s="32">
        <v>64</v>
      </c>
      <c r="I133" s="32">
        <v>1</v>
      </c>
      <c r="J133" s="32">
        <v>64</v>
      </c>
      <c r="K133" s="32">
        <v>64</v>
      </c>
      <c r="L133" s="32">
        <v>1</v>
      </c>
      <c r="M133" s="32">
        <v>1</v>
      </c>
      <c r="N133" s="32">
        <v>2</v>
      </c>
      <c r="O133" s="32">
        <v>512</v>
      </c>
      <c r="P133" s="33">
        <f t="shared" si="5"/>
        <v>4.7193373057474162</v>
      </c>
      <c r="U133" s="27" t="s">
        <v>188</v>
      </c>
      <c r="V133" s="27" t="s">
        <v>236</v>
      </c>
    </row>
    <row r="134" spans="1:22" x14ac:dyDescent="0.25">
      <c r="A134" s="31" t="str">
        <f t="shared" si="4"/>
        <v>./specmcf/l1d.128kB_l1i.64kB</v>
      </c>
      <c r="B134" s="32">
        <v>1.83192</v>
      </c>
      <c r="C134" s="32">
        <v>0.473103</v>
      </c>
      <c r="D134" s="32">
        <v>0.109765</v>
      </c>
      <c r="E134" s="32">
        <v>253.01085</v>
      </c>
      <c r="F134" s="32" t="s">
        <v>188</v>
      </c>
      <c r="G134" s="32" t="s">
        <v>191</v>
      </c>
      <c r="H134" s="32">
        <v>64</v>
      </c>
      <c r="I134" s="32">
        <v>1</v>
      </c>
      <c r="J134" s="32">
        <v>128</v>
      </c>
      <c r="K134" s="32">
        <v>64</v>
      </c>
      <c r="L134" s="32">
        <v>1</v>
      </c>
      <c r="M134" s="32">
        <v>1</v>
      </c>
      <c r="N134" s="32">
        <v>2</v>
      </c>
      <c r="O134" s="32">
        <v>512</v>
      </c>
      <c r="P134" s="33">
        <f t="shared" si="5"/>
        <v>3.9523996698165318</v>
      </c>
      <c r="U134" s="27" t="s">
        <v>188</v>
      </c>
      <c r="V134" s="27" t="s">
        <v>237</v>
      </c>
    </row>
    <row r="135" spans="1:22" x14ac:dyDescent="0.25">
      <c r="A135" s="31" t="str">
        <f t="shared" si="4"/>
        <v>./specmcf/l2_size.1MB</v>
      </c>
      <c r="B135" s="32">
        <v>1.14855</v>
      </c>
      <c r="C135" s="32">
        <v>0.154582</v>
      </c>
      <c r="D135" s="32">
        <v>0.10997700000000001</v>
      </c>
      <c r="E135" s="32">
        <v>143.314548</v>
      </c>
      <c r="F135" s="32" t="s">
        <v>188</v>
      </c>
      <c r="G135" s="32" t="s">
        <v>184</v>
      </c>
      <c r="H135" s="32">
        <v>64</v>
      </c>
      <c r="I135" s="32">
        <v>1</v>
      </c>
      <c r="J135" s="32">
        <v>32</v>
      </c>
      <c r="K135" s="32">
        <v>32</v>
      </c>
      <c r="L135" s="32">
        <v>1</v>
      </c>
      <c r="M135" s="32">
        <v>1</v>
      </c>
      <c r="N135" s="32">
        <v>2</v>
      </c>
      <c r="O135" s="32">
        <v>1024</v>
      </c>
      <c r="P135" s="33">
        <f t="shared" si="5"/>
        <v>6.9776586812386974</v>
      </c>
      <c r="U135" s="27" t="s">
        <v>188</v>
      </c>
      <c r="V135" s="27" t="s">
        <v>238</v>
      </c>
    </row>
    <row r="136" spans="1:22" x14ac:dyDescent="0.25">
      <c r="A136" s="31" t="str">
        <f t="shared" si="4"/>
        <v>./specmcf/l1d.16kB_l1i.128kB</v>
      </c>
      <c r="B136" s="32">
        <v>1.4214199999999999</v>
      </c>
      <c r="C136" s="32">
        <v>0.15052199999999999</v>
      </c>
      <c r="D136" s="32">
        <v>0.111835</v>
      </c>
      <c r="E136" s="32">
        <v>175.798134</v>
      </c>
      <c r="F136" s="32" t="s">
        <v>188</v>
      </c>
      <c r="G136" s="32" t="s">
        <v>191</v>
      </c>
      <c r="H136" s="32">
        <v>64</v>
      </c>
      <c r="I136" s="32">
        <v>1</v>
      </c>
      <c r="J136" s="32">
        <v>16</v>
      </c>
      <c r="K136" s="32">
        <v>128</v>
      </c>
      <c r="L136" s="32">
        <v>1</v>
      </c>
      <c r="M136" s="32">
        <v>1</v>
      </c>
      <c r="N136" s="32">
        <v>2</v>
      </c>
      <c r="O136" s="32">
        <v>512</v>
      </c>
      <c r="P136" s="33">
        <f t="shared" si="5"/>
        <v>5.688342516764143</v>
      </c>
      <c r="U136" s="27" t="s">
        <v>188</v>
      </c>
      <c r="V136" s="27" t="s">
        <v>239</v>
      </c>
    </row>
    <row r="137" spans="1:22" ht="15.75" thickBot="1" x14ac:dyDescent="0.3">
      <c r="A137" s="34" t="str">
        <f t="shared" si="4"/>
        <v>./specmcf/l2_size.4MB</v>
      </c>
      <c r="B137" s="35">
        <v>1.1553500000000001</v>
      </c>
      <c r="C137" s="35">
        <v>0.15540799999999999</v>
      </c>
      <c r="D137" s="35">
        <v>0.109752</v>
      </c>
      <c r="E137" s="35">
        <v>143.85831200000001</v>
      </c>
      <c r="F137" s="35" t="s">
        <v>188</v>
      </c>
      <c r="G137" s="35" t="s">
        <v>184</v>
      </c>
      <c r="H137" s="35">
        <v>64</v>
      </c>
      <c r="I137" s="35">
        <v>1</v>
      </c>
      <c r="J137" s="35">
        <v>32</v>
      </c>
      <c r="K137" s="35">
        <v>32</v>
      </c>
      <c r="L137" s="35">
        <v>1</v>
      </c>
      <c r="M137" s="35">
        <v>1</v>
      </c>
      <c r="N137" s="35">
        <v>2</v>
      </c>
      <c r="O137" s="35">
        <v>4096</v>
      </c>
      <c r="P137" s="36">
        <f t="shared" si="5"/>
        <v>6.9512841218378814</v>
      </c>
      <c r="U137" s="27" t="s">
        <v>188</v>
      </c>
      <c r="V137" s="27" t="s">
        <v>240</v>
      </c>
    </row>
    <row r="138" spans="1:22" x14ac:dyDescent="0.25">
      <c r="A138" s="28" t="str">
        <f t="shared" si="4"/>
        <v>./specsjeng/l2_size.256kB</v>
      </c>
      <c r="B138" s="29">
        <v>1.1464399999999999</v>
      </c>
      <c r="C138" s="29">
        <v>0.142624</v>
      </c>
      <c r="D138" s="29">
        <v>0.123334</v>
      </c>
      <c r="E138" s="29">
        <v>158.98541900000001</v>
      </c>
      <c r="F138" s="29" t="s">
        <v>189</v>
      </c>
      <c r="G138" s="29" t="s">
        <v>184</v>
      </c>
      <c r="H138" s="29">
        <v>64</v>
      </c>
      <c r="I138" s="29">
        <v>1</v>
      </c>
      <c r="J138" s="29">
        <v>32</v>
      </c>
      <c r="K138" s="29">
        <v>32</v>
      </c>
      <c r="L138" s="29">
        <v>1</v>
      </c>
      <c r="M138" s="29">
        <v>1</v>
      </c>
      <c r="N138" s="29">
        <v>2</v>
      </c>
      <c r="O138" s="29">
        <v>256</v>
      </c>
      <c r="P138" s="30">
        <f t="shared" si="5"/>
        <v>6.2898849862451849</v>
      </c>
      <c r="U138" s="27" t="s">
        <v>189</v>
      </c>
      <c r="V138" s="27" t="s">
        <v>207</v>
      </c>
    </row>
    <row r="139" spans="1:22" x14ac:dyDescent="0.25">
      <c r="A139" s="31" t="str">
        <f t="shared" si="4"/>
        <v>./specsjeng/l2d_assoc.4</v>
      </c>
      <c r="B139" s="32">
        <v>1.14703</v>
      </c>
      <c r="C139" s="32">
        <v>0.143376</v>
      </c>
      <c r="D139" s="32">
        <v>0.12323000000000001</v>
      </c>
      <c r="E139" s="32">
        <v>159.01673099999999</v>
      </c>
      <c r="F139" s="32" t="s">
        <v>189</v>
      </c>
      <c r="G139" s="32" t="s">
        <v>194</v>
      </c>
      <c r="H139" s="32">
        <v>64</v>
      </c>
      <c r="I139" s="32">
        <v>1</v>
      </c>
      <c r="J139" s="32">
        <v>32</v>
      </c>
      <c r="K139" s="32">
        <v>32</v>
      </c>
      <c r="L139" s="32">
        <v>1</v>
      </c>
      <c r="M139" s="32">
        <v>1</v>
      </c>
      <c r="N139" s="32">
        <v>4</v>
      </c>
      <c r="O139" s="32">
        <v>512</v>
      </c>
      <c r="P139" s="33">
        <f t="shared" si="5"/>
        <v>6.2886464443794914</v>
      </c>
      <c r="U139" s="27" t="s">
        <v>189</v>
      </c>
      <c r="V139" s="27" t="s">
        <v>208</v>
      </c>
    </row>
    <row r="140" spans="1:22" x14ac:dyDescent="0.25">
      <c r="A140" s="31" t="str">
        <f t="shared" si="4"/>
        <v>./specsjeng/l1i_assoc.2</v>
      </c>
      <c r="B140" s="32">
        <v>1.14927</v>
      </c>
      <c r="C140" s="32">
        <v>0.14335100000000001</v>
      </c>
      <c r="D140" s="32">
        <v>0.12322900000000001</v>
      </c>
      <c r="E140" s="32">
        <v>159.28839300000001</v>
      </c>
      <c r="F140" s="32" t="s">
        <v>189</v>
      </c>
      <c r="G140" s="32" t="s">
        <v>193</v>
      </c>
      <c r="H140" s="32">
        <v>64</v>
      </c>
      <c r="I140" s="32">
        <v>1</v>
      </c>
      <c r="J140" s="32">
        <v>32</v>
      </c>
      <c r="K140" s="32">
        <v>32</v>
      </c>
      <c r="L140" s="32">
        <v>1</v>
      </c>
      <c r="M140" s="32">
        <v>2</v>
      </c>
      <c r="N140" s="32">
        <v>2</v>
      </c>
      <c r="O140" s="32">
        <v>512</v>
      </c>
      <c r="P140" s="33">
        <f t="shared" si="5"/>
        <v>6.2779213297732239</v>
      </c>
      <c r="U140" s="27" t="s">
        <v>189</v>
      </c>
      <c r="V140" s="27" t="s">
        <v>209</v>
      </c>
    </row>
    <row r="141" spans="1:22" x14ac:dyDescent="0.25">
      <c r="A141" s="31" t="str">
        <f t="shared" si="4"/>
        <v>./specsjeng/l1d.64kB_l1i.128kB</v>
      </c>
      <c r="B141" s="32">
        <v>1.83192</v>
      </c>
      <c r="C141" s="32">
        <v>0.39530100000000001</v>
      </c>
      <c r="D141" s="32">
        <v>0.120848</v>
      </c>
      <c r="E141" s="32">
        <v>269.15520299999997</v>
      </c>
      <c r="F141" s="32" t="s">
        <v>189</v>
      </c>
      <c r="G141" s="32" t="s">
        <v>191</v>
      </c>
      <c r="H141" s="32">
        <v>64</v>
      </c>
      <c r="I141" s="32">
        <v>1</v>
      </c>
      <c r="J141" s="32">
        <v>64</v>
      </c>
      <c r="K141" s="32">
        <v>128</v>
      </c>
      <c r="L141" s="32">
        <v>1</v>
      </c>
      <c r="M141" s="32">
        <v>1</v>
      </c>
      <c r="N141" s="32">
        <v>2</v>
      </c>
      <c r="O141" s="32">
        <v>512</v>
      </c>
      <c r="P141" s="33">
        <f t="shared" si="5"/>
        <v>3.7153285125236835</v>
      </c>
      <c r="U141" s="27" t="s">
        <v>189</v>
      </c>
      <c r="V141" s="27" t="s">
        <v>210</v>
      </c>
    </row>
    <row r="142" spans="1:22" x14ac:dyDescent="0.25">
      <c r="A142" s="31" t="str">
        <f t="shared" si="4"/>
        <v>./specsjeng/l1d.16kB_l1i.32kB</v>
      </c>
      <c r="B142" s="32">
        <v>0.73653299999999999</v>
      </c>
      <c r="C142" s="32">
        <v>0.13977600000000001</v>
      </c>
      <c r="D142" s="32">
        <v>0.12598300000000001</v>
      </c>
      <c r="E142" s="32">
        <v>110.400037</v>
      </c>
      <c r="F142" s="32" t="s">
        <v>189</v>
      </c>
      <c r="G142" s="32" t="s">
        <v>191</v>
      </c>
      <c r="H142" s="32">
        <v>64</v>
      </c>
      <c r="I142" s="32">
        <v>1</v>
      </c>
      <c r="J142" s="32">
        <v>16</v>
      </c>
      <c r="K142" s="32">
        <v>32</v>
      </c>
      <c r="L142" s="32">
        <v>1</v>
      </c>
      <c r="M142" s="32">
        <v>1</v>
      </c>
      <c r="N142" s="32">
        <v>2</v>
      </c>
      <c r="O142" s="32">
        <v>512</v>
      </c>
      <c r="P142" s="33">
        <f t="shared" si="5"/>
        <v>9.0579679787607326</v>
      </c>
      <c r="U142" s="27" t="s">
        <v>189</v>
      </c>
      <c r="V142" s="27" t="s">
        <v>211</v>
      </c>
    </row>
    <row r="143" spans="1:22" x14ac:dyDescent="0.25">
      <c r="A143" s="31" t="str">
        <f t="shared" si="4"/>
        <v>./specsjeng/cpu_clock.1GHz</v>
      </c>
      <c r="B143" s="32">
        <v>1.14703</v>
      </c>
      <c r="C143" s="32">
        <v>0.14335200000000001</v>
      </c>
      <c r="D143" s="32">
        <v>0.123239</v>
      </c>
      <c r="E143" s="32">
        <v>159.02538699999999</v>
      </c>
      <c r="F143" s="32" t="s">
        <v>189</v>
      </c>
      <c r="G143" s="32" t="s">
        <v>195</v>
      </c>
      <c r="H143" s="32">
        <v>64</v>
      </c>
      <c r="I143" s="32">
        <v>1</v>
      </c>
      <c r="J143" s="32">
        <v>32</v>
      </c>
      <c r="K143" s="32">
        <v>32</v>
      </c>
      <c r="L143" s="32">
        <v>1</v>
      </c>
      <c r="M143" s="32">
        <v>1</v>
      </c>
      <c r="N143" s="32">
        <v>2</v>
      </c>
      <c r="O143" s="32">
        <v>512</v>
      </c>
      <c r="P143" s="33">
        <f t="shared" si="5"/>
        <v>6.2883041435390439</v>
      </c>
      <c r="U143" s="27" t="s">
        <v>189</v>
      </c>
      <c r="V143" s="27" t="s">
        <v>212</v>
      </c>
    </row>
    <row r="144" spans="1:22" x14ac:dyDescent="0.25">
      <c r="A144" s="31" t="str">
        <f t="shared" si="4"/>
        <v>./specsjeng/l1d.32kB_l1i.64kB</v>
      </c>
      <c r="B144" s="32">
        <v>1.14703</v>
      </c>
      <c r="C144" s="32">
        <v>0.14335200000000001</v>
      </c>
      <c r="D144" s="32">
        <v>0.123239</v>
      </c>
      <c r="E144" s="32">
        <v>159.02538699999999</v>
      </c>
      <c r="F144" s="32" t="s">
        <v>189</v>
      </c>
      <c r="G144" s="32" t="s">
        <v>191</v>
      </c>
      <c r="H144" s="32">
        <v>64</v>
      </c>
      <c r="I144" s="32">
        <v>1</v>
      </c>
      <c r="J144" s="32">
        <v>32</v>
      </c>
      <c r="K144" s="32">
        <v>64</v>
      </c>
      <c r="L144" s="32">
        <v>1</v>
      </c>
      <c r="M144" s="32">
        <v>1</v>
      </c>
      <c r="N144" s="32">
        <v>2</v>
      </c>
      <c r="O144" s="32">
        <v>512</v>
      </c>
      <c r="P144" s="33">
        <f t="shared" si="5"/>
        <v>6.2883041435390439</v>
      </c>
      <c r="U144" s="27" t="s">
        <v>189</v>
      </c>
      <c r="V144" s="27" t="s">
        <v>213</v>
      </c>
    </row>
    <row r="145" spans="1:22" x14ac:dyDescent="0.25">
      <c r="A145" s="31" t="str">
        <f t="shared" si="4"/>
        <v>./specsjeng/l2d_assoc.1</v>
      </c>
      <c r="B145" s="32">
        <v>1.1470199999999999</v>
      </c>
      <c r="C145" s="32">
        <v>0.14333399999999999</v>
      </c>
      <c r="D145" s="32">
        <v>0.12327100000000001</v>
      </c>
      <c r="E145" s="32">
        <v>159.06322800000001</v>
      </c>
      <c r="F145" s="32" t="s">
        <v>189</v>
      </c>
      <c r="G145" s="32" t="s">
        <v>194</v>
      </c>
      <c r="H145" s="32">
        <v>64</v>
      </c>
      <c r="I145" s="32">
        <v>1</v>
      </c>
      <c r="J145" s="32">
        <v>32</v>
      </c>
      <c r="K145" s="32">
        <v>32</v>
      </c>
      <c r="L145" s="32">
        <v>1</v>
      </c>
      <c r="M145" s="32">
        <v>1</v>
      </c>
      <c r="N145" s="32">
        <v>1</v>
      </c>
      <c r="O145" s="32">
        <v>512</v>
      </c>
      <c r="P145" s="33">
        <f t="shared" si="5"/>
        <v>6.2868081615947089</v>
      </c>
      <c r="U145" s="27" t="s">
        <v>189</v>
      </c>
      <c r="V145" s="27" t="s">
        <v>214</v>
      </c>
    </row>
    <row r="146" spans="1:22" x14ac:dyDescent="0.25">
      <c r="A146" s="31" t="str">
        <f t="shared" si="4"/>
        <v>./specsjeng/l1i_assoc.1</v>
      </c>
      <c r="B146" s="32">
        <v>1.14703</v>
      </c>
      <c r="C146" s="32">
        <v>0.14335200000000001</v>
      </c>
      <c r="D146" s="32">
        <v>0.123239</v>
      </c>
      <c r="E146" s="32">
        <v>159.02538699999999</v>
      </c>
      <c r="F146" s="32" t="s">
        <v>189</v>
      </c>
      <c r="G146" s="32" t="s">
        <v>193</v>
      </c>
      <c r="H146" s="32">
        <v>64</v>
      </c>
      <c r="I146" s="32">
        <v>1</v>
      </c>
      <c r="J146" s="32">
        <v>32</v>
      </c>
      <c r="K146" s="32">
        <v>32</v>
      </c>
      <c r="L146" s="32">
        <v>1</v>
      </c>
      <c r="M146" s="32">
        <v>1</v>
      </c>
      <c r="N146" s="32">
        <v>2</v>
      </c>
      <c r="O146" s="32">
        <v>512</v>
      </c>
      <c r="P146" s="33">
        <f t="shared" si="5"/>
        <v>6.2883041435390439</v>
      </c>
      <c r="U146" s="27" t="s">
        <v>189</v>
      </c>
      <c r="V146" s="27" t="s">
        <v>215</v>
      </c>
    </row>
    <row r="147" spans="1:22" x14ac:dyDescent="0.25">
      <c r="A147" s="31" t="str">
        <f t="shared" si="4"/>
        <v>./specsjeng/l1d.32kB_l1i.32kB</v>
      </c>
      <c r="B147" s="32">
        <v>0.74404700000000001</v>
      </c>
      <c r="C147" s="32">
        <v>0.14335700000000001</v>
      </c>
      <c r="D147" s="32">
        <v>0.123333</v>
      </c>
      <c r="E147" s="32">
        <v>109.446198</v>
      </c>
      <c r="F147" s="32" t="s">
        <v>189</v>
      </c>
      <c r="G147" s="32" t="s">
        <v>191</v>
      </c>
      <c r="H147" s="32">
        <v>64</v>
      </c>
      <c r="I147" s="32">
        <v>1</v>
      </c>
      <c r="J147" s="32">
        <v>32</v>
      </c>
      <c r="K147" s="32">
        <v>32</v>
      </c>
      <c r="L147" s="32">
        <v>1</v>
      </c>
      <c r="M147" s="32">
        <v>1</v>
      </c>
      <c r="N147" s="32">
        <v>2</v>
      </c>
      <c r="O147" s="32">
        <v>512</v>
      </c>
      <c r="P147" s="33">
        <f t="shared" si="5"/>
        <v>9.1369094429392597</v>
      </c>
      <c r="U147" s="27" t="s">
        <v>189</v>
      </c>
      <c r="V147" s="27" t="s">
        <v>216</v>
      </c>
    </row>
    <row r="148" spans="1:22" x14ac:dyDescent="0.25">
      <c r="A148" s="31" t="str">
        <f t="shared" si="4"/>
        <v>./specsjeng/l1i_assoc.4</v>
      </c>
      <c r="B148" s="32">
        <v>0.87417199999999995</v>
      </c>
      <c r="C148" s="32">
        <v>0.143348</v>
      </c>
      <c r="D148" s="32">
        <v>0.123226</v>
      </c>
      <c r="E148" s="32">
        <v>125.38491999999999</v>
      </c>
      <c r="F148" s="32" t="s">
        <v>189</v>
      </c>
      <c r="G148" s="32" t="s">
        <v>193</v>
      </c>
      <c r="H148" s="32">
        <v>64</v>
      </c>
      <c r="I148" s="32">
        <v>1</v>
      </c>
      <c r="J148" s="32">
        <v>32</v>
      </c>
      <c r="K148" s="32">
        <v>32</v>
      </c>
      <c r="L148" s="32">
        <v>1</v>
      </c>
      <c r="M148" s="32">
        <v>4</v>
      </c>
      <c r="N148" s="32">
        <v>2</v>
      </c>
      <c r="O148" s="32">
        <v>512</v>
      </c>
      <c r="P148" s="33">
        <f t="shared" si="5"/>
        <v>7.975440746781989</v>
      </c>
      <c r="U148" s="27" t="s">
        <v>189</v>
      </c>
      <c r="V148" s="27" t="s">
        <v>217</v>
      </c>
    </row>
    <row r="149" spans="1:22" x14ac:dyDescent="0.25">
      <c r="A149" s="31" t="str">
        <f t="shared" si="4"/>
        <v>./specsjeng/l1d.128kB_l1i.16kB</v>
      </c>
      <c r="B149" s="32">
        <v>1.4214199999999999</v>
      </c>
      <c r="C149" s="32">
        <v>0.50389499999999998</v>
      </c>
      <c r="D149" s="32">
        <v>0.119185</v>
      </c>
      <c r="E149" s="32">
        <v>229.46866800000001</v>
      </c>
      <c r="F149" s="32" t="s">
        <v>189</v>
      </c>
      <c r="G149" s="32" t="s">
        <v>191</v>
      </c>
      <c r="H149" s="32">
        <v>64</v>
      </c>
      <c r="I149" s="32">
        <v>1</v>
      </c>
      <c r="J149" s="32">
        <v>128</v>
      </c>
      <c r="K149" s="32">
        <v>16</v>
      </c>
      <c r="L149" s="32">
        <v>1</v>
      </c>
      <c r="M149" s="32">
        <v>1</v>
      </c>
      <c r="N149" s="32">
        <v>2</v>
      </c>
      <c r="O149" s="32">
        <v>512</v>
      </c>
      <c r="P149" s="33">
        <f t="shared" si="5"/>
        <v>4.3578934270887038</v>
      </c>
      <c r="U149" s="27" t="s">
        <v>189</v>
      </c>
      <c r="V149" s="27" t="s">
        <v>218</v>
      </c>
    </row>
    <row r="150" spans="1:22" x14ac:dyDescent="0.25">
      <c r="A150" s="31" t="str">
        <f t="shared" si="4"/>
        <v>./specsjeng/l1d_assoc.2</v>
      </c>
      <c r="B150" s="32">
        <v>1.1473599999999999</v>
      </c>
      <c r="C150" s="32">
        <v>0.15615899999999999</v>
      </c>
      <c r="D150" s="32">
        <v>0.1188</v>
      </c>
      <c r="E150" s="32">
        <v>154.858057</v>
      </c>
      <c r="F150" s="32" t="s">
        <v>189</v>
      </c>
      <c r="G150" s="32" t="s">
        <v>192</v>
      </c>
      <c r="H150" s="32">
        <v>64</v>
      </c>
      <c r="I150" s="32">
        <v>1</v>
      </c>
      <c r="J150" s="32">
        <v>32</v>
      </c>
      <c r="K150" s="32">
        <v>32</v>
      </c>
      <c r="L150" s="32">
        <v>2</v>
      </c>
      <c r="M150" s="32">
        <v>1</v>
      </c>
      <c r="N150" s="32">
        <v>2</v>
      </c>
      <c r="O150" s="32">
        <v>512</v>
      </c>
      <c r="P150" s="33">
        <f t="shared" si="5"/>
        <v>6.4575264559854313</v>
      </c>
      <c r="U150" s="27" t="s">
        <v>189</v>
      </c>
      <c r="V150" s="27" t="s">
        <v>219</v>
      </c>
    </row>
    <row r="151" spans="1:22" x14ac:dyDescent="0.25">
      <c r="A151" s="31" t="str">
        <f t="shared" si="4"/>
        <v>./specsjeng/l1d.128kB_l1i.128kB</v>
      </c>
      <c r="B151" s="32">
        <v>2.1138300000000001</v>
      </c>
      <c r="C151" s="32">
        <v>0.50487800000000005</v>
      </c>
      <c r="D151" s="32">
        <v>0.11888600000000001</v>
      </c>
      <c r="E151" s="32">
        <v>311.327719</v>
      </c>
      <c r="F151" s="32" t="s">
        <v>189</v>
      </c>
      <c r="G151" s="32" t="s">
        <v>191</v>
      </c>
      <c r="H151" s="32">
        <v>64</v>
      </c>
      <c r="I151" s="32">
        <v>1</v>
      </c>
      <c r="J151" s="32">
        <v>128</v>
      </c>
      <c r="K151" s="32">
        <v>128</v>
      </c>
      <c r="L151" s="32">
        <v>1</v>
      </c>
      <c r="M151" s="32">
        <v>1</v>
      </c>
      <c r="N151" s="32">
        <v>2</v>
      </c>
      <c r="O151" s="32">
        <v>512</v>
      </c>
      <c r="P151" s="33">
        <f t="shared" si="5"/>
        <v>3.2120493581877301</v>
      </c>
      <c r="U151" s="27" t="s">
        <v>189</v>
      </c>
      <c r="V151" s="27" t="s">
        <v>220</v>
      </c>
    </row>
    <row r="152" spans="1:22" x14ac:dyDescent="0.25">
      <c r="A152" s="31" t="str">
        <f t="shared" si="4"/>
        <v>./specsjeng/l2_size.2MB</v>
      </c>
      <c r="B152" s="32">
        <v>1.15062</v>
      </c>
      <c r="C152" s="32">
        <v>0.14674799999999999</v>
      </c>
      <c r="D152" s="32">
        <v>0.123228</v>
      </c>
      <c r="E152" s="32">
        <v>159.87206399999999</v>
      </c>
      <c r="F152" s="32" t="s">
        <v>189</v>
      </c>
      <c r="G152" s="32" t="s">
        <v>184</v>
      </c>
      <c r="H152" s="32">
        <v>64</v>
      </c>
      <c r="I152" s="32">
        <v>1</v>
      </c>
      <c r="J152" s="32">
        <v>32</v>
      </c>
      <c r="K152" s="32">
        <v>32</v>
      </c>
      <c r="L152" s="32">
        <v>1</v>
      </c>
      <c r="M152" s="32">
        <v>1</v>
      </c>
      <c r="N152" s="32">
        <v>2</v>
      </c>
      <c r="O152" s="32">
        <v>2048</v>
      </c>
      <c r="P152" s="33">
        <f t="shared" si="5"/>
        <v>6.2550014991987588</v>
      </c>
      <c r="U152" s="27" t="s">
        <v>189</v>
      </c>
      <c r="V152" s="27" t="s">
        <v>221</v>
      </c>
    </row>
    <row r="153" spans="1:22" x14ac:dyDescent="0.25">
      <c r="A153" s="31" t="str">
        <f t="shared" si="4"/>
        <v>./specsjeng/l1d_assoc.1</v>
      </c>
      <c r="B153" s="32">
        <v>1.14703</v>
      </c>
      <c r="C153" s="32">
        <v>0.14335200000000001</v>
      </c>
      <c r="D153" s="32">
        <v>0.123239</v>
      </c>
      <c r="E153" s="32">
        <v>159.02538699999999</v>
      </c>
      <c r="F153" s="32" t="s">
        <v>189</v>
      </c>
      <c r="G153" s="32" t="s">
        <v>192</v>
      </c>
      <c r="H153" s="32">
        <v>64</v>
      </c>
      <c r="I153" s="32">
        <v>1</v>
      </c>
      <c r="J153" s="32">
        <v>32</v>
      </c>
      <c r="K153" s="32">
        <v>32</v>
      </c>
      <c r="L153" s="32">
        <v>1</v>
      </c>
      <c r="M153" s="32">
        <v>1</v>
      </c>
      <c r="N153" s="32">
        <v>2</v>
      </c>
      <c r="O153" s="32">
        <v>512</v>
      </c>
      <c r="P153" s="33">
        <f t="shared" si="5"/>
        <v>6.2883041435390439</v>
      </c>
      <c r="U153" s="27" t="s">
        <v>189</v>
      </c>
      <c r="V153" s="27" t="s">
        <v>222</v>
      </c>
    </row>
    <row r="154" spans="1:22" x14ac:dyDescent="0.25">
      <c r="A154" s="31" t="str">
        <f t="shared" si="4"/>
        <v>./specsjeng/l1d.32kB_l1i.16kB</v>
      </c>
      <c r="B154" s="32">
        <v>0.73653299999999999</v>
      </c>
      <c r="C154" s="32">
        <v>0.14332</v>
      </c>
      <c r="D154" s="32">
        <v>0.123497</v>
      </c>
      <c r="E154" s="32">
        <v>108.659206</v>
      </c>
      <c r="F154" s="32" t="s">
        <v>189</v>
      </c>
      <c r="G154" s="32" t="s">
        <v>191</v>
      </c>
      <c r="H154" s="32">
        <v>64</v>
      </c>
      <c r="I154" s="32">
        <v>1</v>
      </c>
      <c r="J154" s="32">
        <v>32</v>
      </c>
      <c r="K154" s="32">
        <v>16</v>
      </c>
      <c r="L154" s="32">
        <v>1</v>
      </c>
      <c r="M154" s="32">
        <v>1</v>
      </c>
      <c r="N154" s="32">
        <v>2</v>
      </c>
      <c r="O154" s="32">
        <v>512</v>
      </c>
      <c r="P154" s="33">
        <f t="shared" si="5"/>
        <v>9.2030858388565804</v>
      </c>
      <c r="U154" s="27" t="s">
        <v>189</v>
      </c>
      <c r="V154" s="27" t="s">
        <v>223</v>
      </c>
    </row>
    <row r="155" spans="1:22" x14ac:dyDescent="0.25">
      <c r="A155" s="31" t="str">
        <f t="shared" si="4"/>
        <v>./specsjeng/l1d.64kB_l1i.32kB</v>
      </c>
      <c r="B155" s="32">
        <v>1.14703</v>
      </c>
      <c r="C155" s="32">
        <v>0.39501799999999998</v>
      </c>
      <c r="D155" s="32">
        <v>0.120972</v>
      </c>
      <c r="E155" s="32">
        <v>186.54463100000001</v>
      </c>
      <c r="F155" s="32" t="s">
        <v>189</v>
      </c>
      <c r="G155" s="32" t="s">
        <v>191</v>
      </c>
      <c r="H155" s="32">
        <v>64</v>
      </c>
      <c r="I155" s="32">
        <v>1</v>
      </c>
      <c r="J155" s="32">
        <v>64</v>
      </c>
      <c r="K155" s="32">
        <v>32</v>
      </c>
      <c r="L155" s="32">
        <v>1</v>
      </c>
      <c r="M155" s="32">
        <v>1</v>
      </c>
      <c r="N155" s="32">
        <v>2</v>
      </c>
      <c r="O155" s="32">
        <v>512</v>
      </c>
      <c r="P155" s="33">
        <f t="shared" si="5"/>
        <v>5.3606474474197006</v>
      </c>
      <c r="U155" s="27" t="s">
        <v>189</v>
      </c>
      <c r="V155" s="27" t="s">
        <v>224</v>
      </c>
    </row>
    <row r="156" spans="1:22" x14ac:dyDescent="0.25">
      <c r="A156" s="31" t="str">
        <f t="shared" si="4"/>
        <v>./specsjeng/l1d.64kB_l1i.16kB</v>
      </c>
      <c r="B156" s="32">
        <v>1.13951</v>
      </c>
      <c r="C156" s="32">
        <v>0.39460400000000001</v>
      </c>
      <c r="D156" s="32">
        <v>0.121147</v>
      </c>
      <c r="E156" s="32">
        <v>185.853309</v>
      </c>
      <c r="F156" s="32" t="s">
        <v>189</v>
      </c>
      <c r="G156" s="32" t="s">
        <v>191</v>
      </c>
      <c r="H156" s="32">
        <v>64</v>
      </c>
      <c r="I156" s="32">
        <v>1</v>
      </c>
      <c r="J156" s="32">
        <v>64</v>
      </c>
      <c r="K156" s="32">
        <v>16</v>
      </c>
      <c r="L156" s="32">
        <v>1</v>
      </c>
      <c r="M156" s="32">
        <v>1</v>
      </c>
      <c r="N156" s="32">
        <v>2</v>
      </c>
      <c r="O156" s="32">
        <v>512</v>
      </c>
      <c r="P156" s="33">
        <f t="shared" si="5"/>
        <v>5.3805875471391253</v>
      </c>
      <c r="U156" s="27" t="s">
        <v>189</v>
      </c>
      <c r="V156" s="27" t="s">
        <v>225</v>
      </c>
    </row>
    <row r="157" spans="1:22" x14ac:dyDescent="0.25">
      <c r="A157" s="31" t="str">
        <f t="shared" si="4"/>
        <v>./specsjeng/l1d.32kB_l1i.128kB</v>
      </c>
      <c r="B157" s="32">
        <v>1.4289400000000001</v>
      </c>
      <c r="C157" s="32">
        <v>0.14335700000000001</v>
      </c>
      <c r="D157" s="32">
        <v>0.123234</v>
      </c>
      <c r="E157" s="32">
        <v>193.760448</v>
      </c>
      <c r="F157" s="32" t="s">
        <v>189</v>
      </c>
      <c r="G157" s="32" t="s">
        <v>191</v>
      </c>
      <c r="H157" s="32">
        <v>64</v>
      </c>
      <c r="I157" s="32">
        <v>1</v>
      </c>
      <c r="J157" s="32">
        <v>32</v>
      </c>
      <c r="K157" s="32">
        <v>128</v>
      </c>
      <c r="L157" s="32">
        <v>1</v>
      </c>
      <c r="M157" s="32">
        <v>1</v>
      </c>
      <c r="N157" s="32">
        <v>2</v>
      </c>
      <c r="O157" s="32">
        <v>512</v>
      </c>
      <c r="P157" s="33">
        <f t="shared" si="5"/>
        <v>5.161012014175359</v>
      </c>
      <c r="U157" s="27" t="s">
        <v>189</v>
      </c>
      <c r="V157" s="27" t="s">
        <v>226</v>
      </c>
    </row>
    <row r="158" spans="1:22" x14ac:dyDescent="0.25">
      <c r="A158" s="31" t="str">
        <f t="shared" si="4"/>
        <v>./specsjeng/l2d_assoc.2</v>
      </c>
      <c r="B158" s="32">
        <v>1.14703</v>
      </c>
      <c r="C158" s="32">
        <v>0.14335200000000001</v>
      </c>
      <c r="D158" s="32">
        <v>0.123239</v>
      </c>
      <c r="E158" s="32">
        <v>159.02538699999999</v>
      </c>
      <c r="F158" s="32" t="s">
        <v>189</v>
      </c>
      <c r="G158" s="32" t="s">
        <v>194</v>
      </c>
      <c r="H158" s="32">
        <v>64</v>
      </c>
      <c r="I158" s="32">
        <v>1</v>
      </c>
      <c r="J158" s="32">
        <v>32</v>
      </c>
      <c r="K158" s="32">
        <v>32</v>
      </c>
      <c r="L158" s="32">
        <v>1</v>
      </c>
      <c r="M158" s="32">
        <v>1</v>
      </c>
      <c r="N158" s="32">
        <v>2</v>
      </c>
      <c r="O158" s="32">
        <v>512</v>
      </c>
      <c r="P158" s="33">
        <f t="shared" si="5"/>
        <v>6.2883041435390439</v>
      </c>
      <c r="U158" s="27" t="s">
        <v>189</v>
      </c>
      <c r="V158" s="27" t="s">
        <v>227</v>
      </c>
    </row>
    <row r="159" spans="1:22" x14ac:dyDescent="0.25">
      <c r="A159" s="31" t="str">
        <f t="shared" si="4"/>
        <v>./specsjeng/l1d_assoc.4</v>
      </c>
      <c r="B159" s="32">
        <v>1.22661</v>
      </c>
      <c r="C159" s="32">
        <v>0.30821399999999999</v>
      </c>
      <c r="D159" s="32">
        <v>0.118509</v>
      </c>
      <c r="E159" s="32">
        <v>181.890457</v>
      </c>
      <c r="F159" s="32" t="s">
        <v>189</v>
      </c>
      <c r="G159" s="32" t="s">
        <v>192</v>
      </c>
      <c r="H159" s="32">
        <v>64</v>
      </c>
      <c r="I159" s="32">
        <v>1</v>
      </c>
      <c r="J159" s="32">
        <v>32</v>
      </c>
      <c r="K159" s="32">
        <v>32</v>
      </c>
      <c r="L159" s="32">
        <v>4</v>
      </c>
      <c r="M159" s="32">
        <v>1</v>
      </c>
      <c r="N159" s="32">
        <v>2</v>
      </c>
      <c r="O159" s="32">
        <v>512</v>
      </c>
      <c r="P159" s="33">
        <f t="shared" si="5"/>
        <v>5.4978145444980662</v>
      </c>
      <c r="U159" s="27" t="s">
        <v>189</v>
      </c>
      <c r="V159" s="27" t="s">
        <v>228</v>
      </c>
    </row>
    <row r="160" spans="1:22" x14ac:dyDescent="0.25">
      <c r="A160" s="31" t="str">
        <f t="shared" si="4"/>
        <v>./specsjeng/cacheline.128</v>
      </c>
      <c r="B160" s="32">
        <v>1.1059399999999999</v>
      </c>
      <c r="C160" s="32">
        <v>0.19983600000000001</v>
      </c>
      <c r="D160" s="32">
        <v>0.124304</v>
      </c>
      <c r="E160" s="32">
        <v>162.31317999999999</v>
      </c>
      <c r="F160" s="32" t="s">
        <v>189</v>
      </c>
      <c r="G160" s="32" t="s">
        <v>190</v>
      </c>
      <c r="H160" s="32">
        <v>128</v>
      </c>
      <c r="I160" s="32">
        <v>1</v>
      </c>
      <c r="J160" s="32">
        <v>32</v>
      </c>
      <c r="K160" s="32">
        <v>32</v>
      </c>
      <c r="L160" s="32">
        <v>1</v>
      </c>
      <c r="M160" s="32">
        <v>1</v>
      </c>
      <c r="N160" s="32">
        <v>2</v>
      </c>
      <c r="O160" s="32">
        <v>512</v>
      </c>
      <c r="P160" s="33">
        <f t="shared" si="5"/>
        <v>6.1609291371162831</v>
      </c>
      <c r="U160" s="27" t="s">
        <v>189</v>
      </c>
      <c r="V160" s="27" t="s">
        <v>229</v>
      </c>
    </row>
    <row r="161" spans="1:22" x14ac:dyDescent="0.25">
      <c r="A161" s="31" t="str">
        <f t="shared" si="4"/>
        <v>./specsjeng/l1d.16kB_l1i.16kB</v>
      </c>
      <c r="B161" s="32">
        <v>0.72901800000000005</v>
      </c>
      <c r="C161" s="32">
        <v>0.13974900000000001</v>
      </c>
      <c r="D161" s="32">
        <v>0.12614400000000001</v>
      </c>
      <c r="E161" s="32">
        <v>109.589744</v>
      </c>
      <c r="F161" s="32" t="s">
        <v>189</v>
      </c>
      <c r="G161" s="32" t="s">
        <v>191</v>
      </c>
      <c r="H161" s="32">
        <v>64</v>
      </c>
      <c r="I161" s="32">
        <v>1</v>
      </c>
      <c r="J161" s="32">
        <v>16</v>
      </c>
      <c r="K161" s="32">
        <v>16</v>
      </c>
      <c r="L161" s="32">
        <v>1</v>
      </c>
      <c r="M161" s="32">
        <v>1</v>
      </c>
      <c r="N161" s="32">
        <v>2</v>
      </c>
      <c r="O161" s="32">
        <v>512</v>
      </c>
      <c r="P161" s="33">
        <f t="shared" si="5"/>
        <v>9.1249414726253946</v>
      </c>
      <c r="U161" s="27" t="s">
        <v>189</v>
      </c>
      <c r="V161" s="27" t="s">
        <v>230</v>
      </c>
    </row>
    <row r="162" spans="1:22" x14ac:dyDescent="0.25">
      <c r="A162" s="31" t="str">
        <f t="shared" si="4"/>
        <v>./specsjeng/l2_size.512kB</v>
      </c>
      <c r="B162" s="32">
        <v>1.14703</v>
      </c>
      <c r="C162" s="32">
        <v>0.14335200000000001</v>
      </c>
      <c r="D162" s="32">
        <v>0.123239</v>
      </c>
      <c r="E162" s="32">
        <v>159.02538699999999</v>
      </c>
      <c r="F162" s="32" t="s">
        <v>189</v>
      </c>
      <c r="G162" s="32" t="s">
        <v>184</v>
      </c>
      <c r="H162" s="32">
        <v>64</v>
      </c>
      <c r="I162" s="32">
        <v>1</v>
      </c>
      <c r="J162" s="32">
        <v>32</v>
      </c>
      <c r="K162" s="32">
        <v>32</v>
      </c>
      <c r="L162" s="32">
        <v>1</v>
      </c>
      <c r="M162" s="32">
        <v>1</v>
      </c>
      <c r="N162" s="32">
        <v>2</v>
      </c>
      <c r="O162" s="32">
        <v>512</v>
      </c>
      <c r="P162" s="33">
        <f t="shared" si="5"/>
        <v>6.2883041435390439</v>
      </c>
      <c r="U162" s="27" t="s">
        <v>189</v>
      </c>
      <c r="V162" s="27" t="s">
        <v>231</v>
      </c>
    </row>
    <row r="163" spans="1:22" x14ac:dyDescent="0.25">
      <c r="A163" s="31" t="str">
        <f t="shared" si="4"/>
        <v>./specsjeng/cacheline.64</v>
      </c>
      <c r="B163" s="32">
        <v>1.14703</v>
      </c>
      <c r="C163" s="32">
        <v>0.14335200000000001</v>
      </c>
      <c r="D163" s="32">
        <v>0.123239</v>
      </c>
      <c r="E163" s="32">
        <v>159.02538699999999</v>
      </c>
      <c r="F163" s="32" t="s">
        <v>189</v>
      </c>
      <c r="G163" s="32" t="s">
        <v>190</v>
      </c>
      <c r="H163" s="32">
        <v>64</v>
      </c>
      <c r="I163" s="32">
        <v>1</v>
      </c>
      <c r="J163" s="32">
        <v>32</v>
      </c>
      <c r="K163" s="32">
        <v>32</v>
      </c>
      <c r="L163" s="32">
        <v>1</v>
      </c>
      <c r="M163" s="32">
        <v>1</v>
      </c>
      <c r="N163" s="32">
        <v>2</v>
      </c>
      <c r="O163" s="32">
        <v>512</v>
      </c>
      <c r="P163" s="33">
        <f t="shared" si="5"/>
        <v>6.2883041435390439</v>
      </c>
      <c r="U163" s="27" t="s">
        <v>189</v>
      </c>
      <c r="V163" s="27" t="s">
        <v>232</v>
      </c>
    </row>
    <row r="164" spans="1:22" x14ac:dyDescent="0.25">
      <c r="A164" s="31" t="str">
        <f t="shared" si="4"/>
        <v>./specsjeng/l1d.128kB_l1i.32kB</v>
      </c>
      <c r="B164" s="32">
        <v>1.4289400000000001</v>
      </c>
      <c r="C164" s="32">
        <v>0.50446500000000005</v>
      </c>
      <c r="D164" s="32">
        <v>0.11901299999999999</v>
      </c>
      <c r="E164" s="32">
        <v>230.10032899999999</v>
      </c>
      <c r="F164" s="32" t="s">
        <v>189</v>
      </c>
      <c r="G164" s="32" t="s">
        <v>191</v>
      </c>
      <c r="H164" s="32">
        <v>64</v>
      </c>
      <c r="I164" s="32">
        <v>1</v>
      </c>
      <c r="J164" s="32">
        <v>128</v>
      </c>
      <c r="K164" s="32">
        <v>32</v>
      </c>
      <c r="L164" s="32">
        <v>1</v>
      </c>
      <c r="M164" s="32">
        <v>1</v>
      </c>
      <c r="N164" s="32">
        <v>2</v>
      </c>
      <c r="O164" s="32">
        <v>512</v>
      </c>
      <c r="P164" s="33">
        <f t="shared" si="5"/>
        <v>4.3459303354581467</v>
      </c>
      <c r="U164" s="27" t="s">
        <v>189</v>
      </c>
      <c r="V164" s="27" t="s">
        <v>233</v>
      </c>
    </row>
    <row r="165" spans="1:22" x14ac:dyDescent="0.25">
      <c r="A165" s="31" t="str">
        <f t="shared" si="4"/>
        <v>./specsjeng/l1d.16kB_l1i.64kB</v>
      </c>
      <c r="B165" s="32">
        <v>1.13951</v>
      </c>
      <c r="C165" s="32">
        <v>0.13974700000000001</v>
      </c>
      <c r="D165" s="32">
        <v>0.125912</v>
      </c>
      <c r="E165" s="32">
        <v>161.07380699999999</v>
      </c>
      <c r="F165" s="32" t="s">
        <v>189</v>
      </c>
      <c r="G165" s="32" t="s">
        <v>191</v>
      </c>
      <c r="H165" s="32">
        <v>64</v>
      </c>
      <c r="I165" s="32">
        <v>1</v>
      </c>
      <c r="J165" s="32">
        <v>16</v>
      </c>
      <c r="K165" s="32">
        <v>64</v>
      </c>
      <c r="L165" s="32">
        <v>1</v>
      </c>
      <c r="M165" s="32">
        <v>1</v>
      </c>
      <c r="N165" s="32">
        <v>2</v>
      </c>
      <c r="O165" s="32">
        <v>512</v>
      </c>
      <c r="P165" s="33">
        <f t="shared" si="5"/>
        <v>6.2083340465157075</v>
      </c>
      <c r="U165" s="27" t="s">
        <v>189</v>
      </c>
      <c r="V165" s="27" t="s">
        <v>234</v>
      </c>
    </row>
    <row r="166" spans="1:22" x14ac:dyDescent="0.25">
      <c r="A166" s="31" t="str">
        <f t="shared" si="4"/>
        <v>./specsjeng/cacheline.32</v>
      </c>
      <c r="B166" s="32">
        <v>0.84024299999999996</v>
      </c>
      <c r="C166" s="32">
        <v>0.134912</v>
      </c>
      <c r="D166" s="32">
        <v>0.122532</v>
      </c>
      <c r="E166" s="32">
        <v>119.487692</v>
      </c>
      <c r="F166" s="32" t="s">
        <v>189</v>
      </c>
      <c r="G166" s="32" t="s">
        <v>190</v>
      </c>
      <c r="H166" s="32">
        <v>32</v>
      </c>
      <c r="I166" s="32">
        <v>1</v>
      </c>
      <c r="J166" s="32">
        <v>32</v>
      </c>
      <c r="K166" s="32">
        <v>32</v>
      </c>
      <c r="L166" s="32">
        <v>1</v>
      </c>
      <c r="M166" s="32">
        <v>1</v>
      </c>
      <c r="N166" s="32">
        <v>2</v>
      </c>
      <c r="O166" s="32">
        <v>512</v>
      </c>
      <c r="P166" s="33">
        <f t="shared" si="5"/>
        <v>8.3690628152730575</v>
      </c>
      <c r="U166" s="27" t="s">
        <v>189</v>
      </c>
      <c r="V166" s="27" t="s">
        <v>235</v>
      </c>
    </row>
    <row r="167" spans="1:22" x14ac:dyDescent="0.25">
      <c r="A167" s="31" t="str">
        <f t="shared" si="4"/>
        <v>./specsjeng/l1d.64kB_l1i.64kB</v>
      </c>
      <c r="B167" s="32">
        <v>1.55</v>
      </c>
      <c r="C167" s="32">
        <v>0.39528200000000002</v>
      </c>
      <c r="D167" s="32">
        <v>0.120854</v>
      </c>
      <c r="E167" s="32">
        <v>235.095111</v>
      </c>
      <c r="F167" s="32" t="s">
        <v>189</v>
      </c>
      <c r="G167" s="32" t="s">
        <v>191</v>
      </c>
      <c r="H167" s="32">
        <v>64</v>
      </c>
      <c r="I167" s="32">
        <v>1</v>
      </c>
      <c r="J167" s="32">
        <v>64</v>
      </c>
      <c r="K167" s="32">
        <v>64</v>
      </c>
      <c r="L167" s="32">
        <v>1</v>
      </c>
      <c r="M167" s="32">
        <v>1</v>
      </c>
      <c r="N167" s="32">
        <v>2</v>
      </c>
      <c r="O167" s="32">
        <v>512</v>
      </c>
      <c r="P167" s="33">
        <f t="shared" si="5"/>
        <v>4.253597600334615</v>
      </c>
      <c r="U167" s="27" t="s">
        <v>189</v>
      </c>
      <c r="V167" s="27" t="s">
        <v>236</v>
      </c>
    </row>
    <row r="168" spans="1:22" x14ac:dyDescent="0.25">
      <c r="A168" s="31" t="str">
        <f t="shared" si="4"/>
        <v>./specsjeng/l1d.128kB_l1i.64kB</v>
      </c>
      <c r="B168" s="32">
        <v>1.83192</v>
      </c>
      <c r="C168" s="32">
        <v>0.50486399999999998</v>
      </c>
      <c r="D168" s="32">
        <v>0.11889</v>
      </c>
      <c r="E168" s="32">
        <v>277.82024999999999</v>
      </c>
      <c r="F168" s="32" t="s">
        <v>189</v>
      </c>
      <c r="G168" s="32" t="s">
        <v>191</v>
      </c>
      <c r="H168" s="32">
        <v>64</v>
      </c>
      <c r="I168" s="32">
        <v>1</v>
      </c>
      <c r="J168" s="32">
        <v>128</v>
      </c>
      <c r="K168" s="32">
        <v>64</v>
      </c>
      <c r="L168" s="32">
        <v>1</v>
      </c>
      <c r="M168" s="32">
        <v>1</v>
      </c>
      <c r="N168" s="32">
        <v>2</v>
      </c>
      <c r="O168" s="32">
        <v>512</v>
      </c>
      <c r="P168" s="33">
        <f t="shared" si="5"/>
        <v>3.5994496441494097</v>
      </c>
      <c r="U168" s="27" t="s">
        <v>189</v>
      </c>
      <c r="V168" s="27" t="s">
        <v>237</v>
      </c>
    </row>
    <row r="169" spans="1:22" x14ac:dyDescent="0.25">
      <c r="A169" s="31" t="str">
        <f t="shared" si="4"/>
        <v>./specsjeng/l2_size.1MB</v>
      </c>
      <c r="B169" s="32">
        <v>1.14855</v>
      </c>
      <c r="C169" s="32">
        <v>0.14468800000000001</v>
      </c>
      <c r="D169" s="32">
        <v>0.123228</v>
      </c>
      <c r="E169" s="32">
        <v>159.36313200000001</v>
      </c>
      <c r="F169" s="32" t="s">
        <v>189</v>
      </c>
      <c r="G169" s="32" t="s">
        <v>184</v>
      </c>
      <c r="H169" s="32">
        <v>64</v>
      </c>
      <c r="I169" s="32">
        <v>1</v>
      </c>
      <c r="J169" s="32">
        <v>32</v>
      </c>
      <c r="K169" s="32">
        <v>32</v>
      </c>
      <c r="L169" s="32">
        <v>1</v>
      </c>
      <c r="M169" s="32">
        <v>1</v>
      </c>
      <c r="N169" s="32">
        <v>2</v>
      </c>
      <c r="O169" s="32">
        <v>1024</v>
      </c>
      <c r="P169" s="33">
        <f t="shared" si="5"/>
        <v>6.2749770756262491</v>
      </c>
      <c r="U169" s="27" t="s">
        <v>189</v>
      </c>
      <c r="V169" s="27" t="s">
        <v>238</v>
      </c>
    </row>
    <row r="170" spans="1:22" x14ac:dyDescent="0.25">
      <c r="A170" s="31" t="str">
        <f t="shared" si="4"/>
        <v>./specsjeng/l1d.16kB_l1i.128kB</v>
      </c>
      <c r="B170" s="32">
        <v>1.4214199999999999</v>
      </c>
      <c r="C170" s="32">
        <v>0.13975199999999999</v>
      </c>
      <c r="D170" s="32">
        <v>0.12590699999999999</v>
      </c>
      <c r="E170" s="32">
        <v>196.56248299999999</v>
      </c>
      <c r="F170" s="32" t="s">
        <v>189</v>
      </c>
      <c r="G170" s="32" t="s">
        <v>191</v>
      </c>
      <c r="H170" s="32">
        <v>64</v>
      </c>
      <c r="I170" s="32">
        <v>1</v>
      </c>
      <c r="J170" s="32">
        <v>16</v>
      </c>
      <c r="K170" s="32">
        <v>128</v>
      </c>
      <c r="L170" s="32">
        <v>1</v>
      </c>
      <c r="M170" s="32">
        <v>1</v>
      </c>
      <c r="N170" s="32">
        <v>2</v>
      </c>
      <c r="O170" s="32">
        <v>512</v>
      </c>
      <c r="P170" s="33">
        <f t="shared" si="5"/>
        <v>5.087440821552911</v>
      </c>
      <c r="U170" s="27" t="s">
        <v>189</v>
      </c>
      <c r="V170" s="27" t="s">
        <v>239</v>
      </c>
    </row>
    <row r="171" spans="1:22" ht="15.75" thickBot="1" x14ac:dyDescent="0.3">
      <c r="A171" s="34" t="str">
        <f t="shared" si="4"/>
        <v>./specsjeng/l2_size.4MB</v>
      </c>
      <c r="B171" s="35">
        <v>1.1553500000000001</v>
      </c>
      <c r="C171" s="35">
        <v>0.149005</v>
      </c>
      <c r="D171" s="35">
        <v>0.123228</v>
      </c>
      <c r="E171" s="35">
        <v>160.733058</v>
      </c>
      <c r="F171" s="35" t="s">
        <v>189</v>
      </c>
      <c r="G171" s="35" t="s">
        <v>184</v>
      </c>
      <c r="H171" s="35">
        <v>64</v>
      </c>
      <c r="I171" s="35">
        <v>1</v>
      </c>
      <c r="J171" s="35">
        <v>32</v>
      </c>
      <c r="K171" s="35">
        <v>32</v>
      </c>
      <c r="L171" s="35">
        <v>1</v>
      </c>
      <c r="M171" s="35">
        <v>1</v>
      </c>
      <c r="N171" s="35">
        <v>2</v>
      </c>
      <c r="O171" s="35">
        <v>4096</v>
      </c>
      <c r="P171" s="36">
        <f t="shared" si="5"/>
        <v>6.2214955183643674</v>
      </c>
      <c r="U171" s="27" t="s">
        <v>189</v>
      </c>
      <c r="V171" s="27" t="s">
        <v>240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D3A82-AAFD-4745-9D88-E0643F8015C5}">
  <sheetPr codeName="Sheet2"/>
  <dimension ref="A1:B24"/>
  <sheetViews>
    <sheetView workbookViewId="0">
      <selection activeCell="L27" sqref="L27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190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1.7650119999999998</v>
      </c>
    </row>
    <row r="5" spans="1:2" x14ac:dyDescent="0.25">
      <c r="A5" s="4">
        <v>32</v>
      </c>
      <c r="B5" s="5">
        <v>1.8363659999999999</v>
      </c>
    </row>
    <row r="6" spans="1:2" x14ac:dyDescent="0.25">
      <c r="A6" s="4">
        <v>64</v>
      </c>
      <c r="B6" s="5">
        <v>1.727746</v>
      </c>
    </row>
    <row r="7" spans="1:2" x14ac:dyDescent="0.25">
      <c r="A7" s="4">
        <v>128</v>
      </c>
      <c r="B7" s="5">
        <v>1.7309239999999999</v>
      </c>
    </row>
    <row r="8" spans="1:2" x14ac:dyDescent="0.25">
      <c r="A8" s="3" t="s">
        <v>186</v>
      </c>
      <c r="B8" s="5">
        <v>4.8386889999999996</v>
      </c>
    </row>
    <row r="9" spans="1:2" x14ac:dyDescent="0.25">
      <c r="A9" s="4">
        <v>32</v>
      </c>
      <c r="B9" s="5">
        <v>6.2138</v>
      </c>
    </row>
    <row r="10" spans="1:2" x14ac:dyDescent="0.25">
      <c r="A10" s="4">
        <v>64</v>
      </c>
      <c r="B10" s="5">
        <v>4.5237769999999999</v>
      </c>
    </row>
    <row r="11" spans="1:2" x14ac:dyDescent="0.25">
      <c r="A11" s="4">
        <v>128</v>
      </c>
      <c r="B11" s="5">
        <v>3.7784900000000001</v>
      </c>
    </row>
    <row r="12" spans="1:2" x14ac:dyDescent="0.25">
      <c r="A12" s="3" t="s">
        <v>187</v>
      </c>
      <c r="B12" s="5">
        <v>7.8936203333333337</v>
      </c>
    </row>
    <row r="13" spans="1:2" x14ac:dyDescent="0.25">
      <c r="A13" s="4">
        <v>32</v>
      </c>
      <c r="B13" s="5">
        <v>11.660412000000001</v>
      </c>
    </row>
    <row r="14" spans="1:2" x14ac:dyDescent="0.25">
      <c r="A14" s="4">
        <v>64</v>
      </c>
      <c r="B14" s="5">
        <v>7.0422409999999998</v>
      </c>
    </row>
    <row r="15" spans="1:2" x14ac:dyDescent="0.25">
      <c r="A15" s="4">
        <v>128</v>
      </c>
      <c r="B15" s="5">
        <v>4.9782080000000004</v>
      </c>
    </row>
    <row r="16" spans="1:2" x14ac:dyDescent="0.25">
      <c r="A16" s="3" t="s">
        <v>188</v>
      </c>
      <c r="B16" s="5">
        <v>1.10667</v>
      </c>
    </row>
    <row r="17" spans="1:2" x14ac:dyDescent="0.25">
      <c r="A17" s="4">
        <v>32</v>
      </c>
      <c r="B17" s="5">
        <v>1.129462</v>
      </c>
    </row>
    <row r="18" spans="1:2" x14ac:dyDescent="0.25">
      <c r="A18" s="4">
        <v>64</v>
      </c>
      <c r="B18" s="5">
        <v>1.1022460000000001</v>
      </c>
    </row>
    <row r="19" spans="1:2" x14ac:dyDescent="0.25">
      <c r="A19" s="4">
        <v>128</v>
      </c>
      <c r="B19" s="5">
        <v>1.0883020000000001</v>
      </c>
    </row>
    <row r="20" spans="1:2" x14ac:dyDescent="0.25">
      <c r="A20" s="3" t="s">
        <v>189</v>
      </c>
      <c r="B20" s="5">
        <v>1.2335826666666667</v>
      </c>
    </row>
    <row r="21" spans="1:2" x14ac:dyDescent="0.25">
      <c r="A21" s="4">
        <v>32</v>
      </c>
      <c r="B21" s="5">
        <v>1.2253179999999999</v>
      </c>
    </row>
    <row r="22" spans="1:2" x14ac:dyDescent="0.25">
      <c r="A22" s="4">
        <v>64</v>
      </c>
      <c r="B22" s="5">
        <v>1.2323850000000001</v>
      </c>
    </row>
    <row r="23" spans="1:2" x14ac:dyDescent="0.25">
      <c r="A23" s="4">
        <v>128</v>
      </c>
      <c r="B23" s="5">
        <v>1.243045</v>
      </c>
    </row>
    <row r="24" spans="1:2" x14ac:dyDescent="0.25">
      <c r="A24" s="3" t="s">
        <v>198</v>
      </c>
      <c r="B24" s="5">
        <v>3.3675148000000004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876C-3D81-47C5-B5E2-9A6D5155D18E}">
  <sheetPr codeName="Sheet3"/>
  <dimension ref="A1:B24"/>
  <sheetViews>
    <sheetView topLeftCell="I1" workbookViewId="0">
      <selection activeCell="L27" sqref="L27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190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2.2345E-2</v>
      </c>
    </row>
    <row r="5" spans="1:2" x14ac:dyDescent="0.25">
      <c r="A5" s="4">
        <v>32</v>
      </c>
      <c r="B5" s="5">
        <v>2.3845999999999999E-2</v>
      </c>
    </row>
    <row r="6" spans="1:2" x14ac:dyDescent="0.25">
      <c r="A6" s="4">
        <v>64</v>
      </c>
      <c r="B6" s="5">
        <v>2.1398E-2</v>
      </c>
    </row>
    <row r="7" spans="1:2" x14ac:dyDescent="0.25">
      <c r="A7" s="4">
        <v>128</v>
      </c>
      <c r="B7" s="5">
        <v>2.1791000000000001E-2</v>
      </c>
    </row>
    <row r="8" spans="1:2" x14ac:dyDescent="0.25">
      <c r="A8" s="3" t="s">
        <v>186</v>
      </c>
      <c r="B8" s="5">
        <v>5.6704999999999998E-2</v>
      </c>
    </row>
    <row r="9" spans="1:2" x14ac:dyDescent="0.25">
      <c r="A9" s="4">
        <v>32</v>
      </c>
      <c r="B9" s="5">
        <v>7.7135999999999996E-2</v>
      </c>
    </row>
    <row r="10" spans="1:2" x14ac:dyDescent="0.25">
      <c r="A10" s="4">
        <v>64</v>
      </c>
      <c r="B10" s="5">
        <v>5.4128999999999997E-2</v>
      </c>
    </row>
    <row r="11" spans="1:2" x14ac:dyDescent="0.25">
      <c r="A11" s="4">
        <v>128</v>
      </c>
      <c r="B11" s="5">
        <v>3.8850000000000003E-2</v>
      </c>
    </row>
    <row r="12" spans="1:2" x14ac:dyDescent="0.25">
      <c r="A12" s="3" t="s">
        <v>187</v>
      </c>
      <c r="B12" s="5">
        <v>0.14222400000000002</v>
      </c>
    </row>
    <row r="13" spans="1:2" x14ac:dyDescent="0.25">
      <c r="A13" s="4">
        <v>32</v>
      </c>
      <c r="B13" s="5">
        <v>0.243703</v>
      </c>
    </row>
    <row r="14" spans="1:2" x14ac:dyDescent="0.25">
      <c r="A14" s="4">
        <v>64</v>
      </c>
      <c r="B14" s="5">
        <v>0.12191200000000001</v>
      </c>
    </row>
    <row r="15" spans="1:2" x14ac:dyDescent="0.25">
      <c r="A15" s="4">
        <v>128</v>
      </c>
      <c r="B15" s="5">
        <v>6.1057E-2</v>
      </c>
    </row>
    <row r="16" spans="1:2" x14ac:dyDescent="0.25">
      <c r="A16" s="3" t="s">
        <v>188</v>
      </c>
      <c r="B16" s="5">
        <v>3.443333333333333E-3</v>
      </c>
    </row>
    <row r="17" spans="1:2" x14ac:dyDescent="0.25">
      <c r="A17" s="4">
        <v>32</v>
      </c>
      <c r="B17" s="5">
        <v>4.2399999999999998E-3</v>
      </c>
    </row>
    <row r="18" spans="1:2" x14ac:dyDescent="0.25">
      <c r="A18" s="4">
        <v>64</v>
      </c>
      <c r="B18" s="5">
        <v>3.2320000000000001E-3</v>
      </c>
    </row>
    <row r="19" spans="1:2" x14ac:dyDescent="0.25">
      <c r="A19" s="4">
        <v>128</v>
      </c>
      <c r="B19" s="5">
        <v>2.8579999999999999E-3</v>
      </c>
    </row>
    <row r="20" spans="1:2" x14ac:dyDescent="0.25">
      <c r="A20" s="3" t="s">
        <v>189</v>
      </c>
      <c r="B20" s="5">
        <v>6.0603333333333334E-3</v>
      </c>
    </row>
    <row r="21" spans="1:2" x14ac:dyDescent="0.25">
      <c r="A21" s="4">
        <v>32</v>
      </c>
      <c r="B21" s="5">
        <v>6.5799999999999999E-3</v>
      </c>
    </row>
    <row r="22" spans="1:2" x14ac:dyDescent="0.25">
      <c r="A22" s="4">
        <v>64</v>
      </c>
      <c r="B22" s="5">
        <v>5.777E-3</v>
      </c>
    </row>
    <row r="23" spans="1:2" x14ac:dyDescent="0.25">
      <c r="A23" s="4">
        <v>128</v>
      </c>
      <c r="B23" s="5">
        <v>5.8240000000000002E-3</v>
      </c>
    </row>
    <row r="24" spans="1:2" x14ac:dyDescent="0.25">
      <c r="A24" s="3" t="s">
        <v>198</v>
      </c>
      <c r="B24" s="5">
        <v>4.6155533333333346E-2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10-8F27-4CB8-BE59-57E81DE7134F}">
  <sheetPr codeName="Sheet4"/>
  <dimension ref="A1:B24"/>
  <sheetViews>
    <sheetView workbookViewId="0">
      <selection activeCell="C21" sqref="C21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1" spans="1:2" x14ac:dyDescent="0.25">
      <c r="A1" s="2" t="s">
        <v>176</v>
      </c>
      <c r="B1" t="s">
        <v>190</v>
      </c>
    </row>
    <row r="3" spans="1:2" x14ac:dyDescent="0.25">
      <c r="A3" s="2" t="s">
        <v>197</v>
      </c>
      <c r="B3" t="s">
        <v>201</v>
      </c>
    </row>
    <row r="4" spans="1:2" x14ac:dyDescent="0.25">
      <c r="A4" s="3" t="s">
        <v>185</v>
      </c>
      <c r="B4" s="5">
        <v>7.5666666666666672E-5</v>
      </c>
    </row>
    <row r="5" spans="1:2" x14ac:dyDescent="0.25">
      <c r="A5" s="4">
        <v>32</v>
      </c>
      <c r="B5" s="5">
        <v>9.0000000000000006E-5</v>
      </c>
    </row>
    <row r="6" spans="1:2" x14ac:dyDescent="0.25">
      <c r="A6" s="4">
        <v>64</v>
      </c>
      <c r="B6" s="5">
        <v>7.6000000000000004E-5</v>
      </c>
    </row>
    <row r="7" spans="1:2" x14ac:dyDescent="0.25">
      <c r="A7" s="4">
        <v>128</v>
      </c>
      <c r="B7" s="5">
        <v>6.0999999999999999E-5</v>
      </c>
    </row>
    <row r="8" spans="1:2" x14ac:dyDescent="0.25">
      <c r="A8" s="3" t="s">
        <v>186</v>
      </c>
      <c r="B8" s="5">
        <v>8.1581333333333325E-2</v>
      </c>
    </row>
    <row r="9" spans="1:2" x14ac:dyDescent="0.25">
      <c r="A9" s="4">
        <v>32</v>
      </c>
      <c r="B9" s="5">
        <v>0.10876</v>
      </c>
    </row>
    <row r="10" spans="1:2" x14ac:dyDescent="0.25">
      <c r="A10" s="4">
        <v>64</v>
      </c>
      <c r="B10" s="5">
        <v>7.7973000000000001E-2</v>
      </c>
    </row>
    <row r="11" spans="1:2" x14ac:dyDescent="0.25">
      <c r="A11" s="4">
        <v>128</v>
      </c>
      <c r="B11" s="5">
        <v>5.8011E-2</v>
      </c>
    </row>
    <row r="12" spans="1:2" x14ac:dyDescent="0.25">
      <c r="A12" s="3" t="s">
        <v>187</v>
      </c>
      <c r="B12" s="5">
        <v>1.9000000000000001E-5</v>
      </c>
    </row>
    <row r="13" spans="1:2" x14ac:dyDescent="0.25">
      <c r="A13" s="4">
        <v>32</v>
      </c>
      <c r="B13" s="5">
        <v>2.3E-5</v>
      </c>
    </row>
    <row r="14" spans="1:2" x14ac:dyDescent="0.25">
      <c r="A14" s="4">
        <v>64</v>
      </c>
      <c r="B14" s="5">
        <v>2.0000000000000002E-5</v>
      </c>
    </row>
    <row r="15" spans="1:2" x14ac:dyDescent="0.25">
      <c r="A15" s="4">
        <v>128</v>
      </c>
      <c r="B15" s="5">
        <v>1.4E-5</v>
      </c>
    </row>
    <row r="16" spans="1:2" x14ac:dyDescent="0.25">
      <c r="A16" s="3" t="s">
        <v>188</v>
      </c>
      <c r="B16" s="5">
        <v>3.5333333333333329E-5</v>
      </c>
    </row>
    <row r="17" spans="1:2" x14ac:dyDescent="0.25">
      <c r="A17" s="4">
        <v>32</v>
      </c>
      <c r="B17" s="5">
        <v>3.6999999999999998E-5</v>
      </c>
    </row>
    <row r="18" spans="1:2" x14ac:dyDescent="0.25">
      <c r="A18" s="4">
        <v>64</v>
      </c>
      <c r="B18" s="5">
        <v>3.4E-5</v>
      </c>
    </row>
    <row r="19" spans="1:2" x14ac:dyDescent="0.25">
      <c r="A19" s="4">
        <v>128</v>
      </c>
      <c r="B19" s="5">
        <v>3.4999999999999997E-5</v>
      </c>
    </row>
    <row r="20" spans="1:2" x14ac:dyDescent="0.25">
      <c r="A20" s="3" t="s">
        <v>189</v>
      </c>
      <c r="B20" s="5">
        <v>1.4333333333333334E-4</v>
      </c>
    </row>
    <row r="21" spans="1:2" x14ac:dyDescent="0.25">
      <c r="A21" s="4">
        <v>32</v>
      </c>
      <c r="B21" s="5">
        <v>1.76E-4</v>
      </c>
    </row>
    <row r="22" spans="1:2" x14ac:dyDescent="0.25">
      <c r="A22" s="4">
        <v>64</v>
      </c>
      <c r="B22" s="5">
        <v>1.36E-4</v>
      </c>
    </row>
    <row r="23" spans="1:2" x14ac:dyDescent="0.25">
      <c r="A23" s="4">
        <v>128</v>
      </c>
      <c r="B23" s="5">
        <v>1.18E-4</v>
      </c>
    </row>
    <row r="24" spans="1:2" x14ac:dyDescent="0.25">
      <c r="A24" s="3" t="s">
        <v>198</v>
      </c>
      <c r="B24" s="5">
        <v>1.6370933333333334E-2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B2F1-EEDA-40F8-B38E-4E13463FBF19}">
  <sheetPr codeName="Sheet5"/>
  <dimension ref="A1:B24"/>
  <sheetViews>
    <sheetView workbookViewId="0">
      <selection activeCell="L27" sqref="L27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190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0.28924766666666668</v>
      </c>
    </row>
    <row r="5" spans="1:2" x14ac:dyDescent="0.25">
      <c r="A5" s="4">
        <v>32</v>
      </c>
      <c r="B5" s="5">
        <v>0.39927699999999999</v>
      </c>
    </row>
    <row r="6" spans="1:2" x14ac:dyDescent="0.25">
      <c r="A6" s="4">
        <v>64</v>
      </c>
      <c r="B6" s="5">
        <v>0.27181100000000002</v>
      </c>
    </row>
    <row r="7" spans="1:2" x14ac:dyDescent="0.25">
      <c r="A7" s="4">
        <v>128</v>
      </c>
      <c r="B7" s="5">
        <v>0.196655</v>
      </c>
    </row>
    <row r="8" spans="1:2" x14ac:dyDescent="0.25">
      <c r="A8" s="3" t="s">
        <v>186</v>
      </c>
      <c r="B8" s="5">
        <v>0.89860766666666658</v>
      </c>
    </row>
    <row r="9" spans="1:2" x14ac:dyDescent="0.25">
      <c r="A9" s="4">
        <v>32</v>
      </c>
      <c r="B9" s="5">
        <v>0.94686000000000003</v>
      </c>
    </row>
    <row r="10" spans="1:2" x14ac:dyDescent="0.25">
      <c r="A10" s="4">
        <v>64</v>
      </c>
      <c r="B10" s="5">
        <v>0.89292199999999999</v>
      </c>
    </row>
    <row r="11" spans="1:2" x14ac:dyDescent="0.25">
      <c r="A11" s="4">
        <v>128</v>
      </c>
      <c r="B11" s="5">
        <v>0.85604100000000005</v>
      </c>
    </row>
    <row r="12" spans="1:2" x14ac:dyDescent="0.25">
      <c r="A12" s="3" t="s">
        <v>187</v>
      </c>
      <c r="B12" s="5">
        <v>0.9979026666666666</v>
      </c>
    </row>
    <row r="13" spans="1:2" x14ac:dyDescent="0.25">
      <c r="A13" s="4">
        <v>32</v>
      </c>
      <c r="B13" s="5">
        <v>0.99959699999999996</v>
      </c>
    </row>
    <row r="14" spans="1:2" x14ac:dyDescent="0.25">
      <c r="A14" s="4">
        <v>64</v>
      </c>
      <c r="B14" s="5">
        <v>0.99863000000000002</v>
      </c>
    </row>
    <row r="15" spans="1:2" x14ac:dyDescent="0.25">
      <c r="A15" s="4">
        <v>128</v>
      </c>
      <c r="B15" s="5">
        <v>0.99548099999999995</v>
      </c>
    </row>
    <row r="16" spans="1:2" x14ac:dyDescent="0.25">
      <c r="A16" s="3" t="s">
        <v>188</v>
      </c>
      <c r="B16" s="5">
        <v>0.52466500000000005</v>
      </c>
    </row>
    <row r="17" spans="1:2" x14ac:dyDescent="0.25">
      <c r="A17" s="4">
        <v>32</v>
      </c>
      <c r="B17" s="5">
        <v>0.69636799999999999</v>
      </c>
    </row>
    <row r="18" spans="1:2" x14ac:dyDescent="0.25">
      <c r="A18" s="4">
        <v>64</v>
      </c>
      <c r="B18" s="5">
        <v>0.54118900000000003</v>
      </c>
    </row>
    <row r="19" spans="1:2" x14ac:dyDescent="0.25">
      <c r="A19" s="4">
        <v>128</v>
      </c>
      <c r="B19" s="5">
        <v>0.33643800000000001</v>
      </c>
    </row>
    <row r="20" spans="1:2" x14ac:dyDescent="0.25">
      <c r="A20" s="3" t="s">
        <v>189</v>
      </c>
      <c r="B20" s="5">
        <v>2.6110666666666667E-2</v>
      </c>
    </row>
    <row r="21" spans="1:2" x14ac:dyDescent="0.25">
      <c r="A21" s="4">
        <v>32</v>
      </c>
      <c r="B21" s="5">
        <v>3.9736E-2</v>
      </c>
    </row>
    <row r="22" spans="1:2" x14ac:dyDescent="0.25">
      <c r="A22" s="4">
        <v>64</v>
      </c>
      <c r="B22" s="5">
        <v>2.4802999999999999E-2</v>
      </c>
    </row>
    <row r="23" spans="1:2" x14ac:dyDescent="0.25">
      <c r="A23" s="4">
        <v>128</v>
      </c>
      <c r="B23" s="5">
        <v>1.3793E-2</v>
      </c>
    </row>
    <row r="24" spans="1:2" x14ac:dyDescent="0.25">
      <c r="A24" s="3" t="s">
        <v>198</v>
      </c>
      <c r="B24" s="5">
        <v>0.54730673333333324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4D71A-6641-4273-A94E-F4AAD55BA2E6}">
  <sheetPr codeName="Sheet6"/>
  <dimension ref="A2:F31"/>
  <sheetViews>
    <sheetView topLeftCell="G1" workbookViewId="0">
      <selection activeCell="I26" sqref="I26"/>
    </sheetView>
  </sheetViews>
  <sheetFormatPr defaultRowHeight="15" x14ac:dyDescent="0.25"/>
  <cols>
    <col min="1" max="1" width="24.5703125" bestFit="1" customWidth="1"/>
    <col min="2" max="2" width="16.28515625" bestFit="1" customWidth="1"/>
    <col min="3" max="5" width="11" bestFit="1" customWidth="1"/>
    <col min="6" max="6" width="12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199</v>
      </c>
      <c r="B4" s="2" t="s">
        <v>203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1.7736335000000001</v>
      </c>
      <c r="C6" s="5">
        <v>1.7277989999999999</v>
      </c>
      <c r="D6" s="5">
        <v>1.6937009999999999</v>
      </c>
      <c r="E6" s="5">
        <v>1.6571672500000001</v>
      </c>
      <c r="F6" s="5">
        <v>1.7130751875000003</v>
      </c>
    </row>
    <row r="7" spans="1:6" x14ac:dyDescent="0.25">
      <c r="A7" s="4">
        <v>16</v>
      </c>
      <c r="B7" s="5">
        <v>1.7737810000000001</v>
      </c>
      <c r="C7" s="5">
        <v>1.72793</v>
      </c>
      <c r="D7" s="5">
        <v>1.693845</v>
      </c>
      <c r="E7" s="5">
        <v>1.657357</v>
      </c>
      <c r="F7" s="5">
        <v>1.71322825</v>
      </c>
    </row>
    <row r="8" spans="1:6" x14ac:dyDescent="0.25">
      <c r="A8" s="4">
        <v>32</v>
      </c>
      <c r="B8" s="5">
        <v>1.7736080000000001</v>
      </c>
      <c r="C8" s="5">
        <v>1.7277739999999999</v>
      </c>
      <c r="D8" s="5">
        <v>1.693587</v>
      </c>
      <c r="E8" s="5">
        <v>1.6571560000000001</v>
      </c>
      <c r="F8" s="5">
        <v>1.7130312500000002</v>
      </c>
    </row>
    <row r="9" spans="1:6" x14ac:dyDescent="0.25">
      <c r="A9" s="4">
        <v>64</v>
      </c>
      <c r="B9" s="5">
        <v>1.7736149999999999</v>
      </c>
      <c r="C9" s="5">
        <v>1.727746</v>
      </c>
      <c r="D9" s="5">
        <v>1.693686</v>
      </c>
      <c r="E9" s="5">
        <v>1.6570780000000001</v>
      </c>
      <c r="F9" s="5">
        <v>1.7130312500000002</v>
      </c>
    </row>
    <row r="10" spans="1:6" x14ac:dyDescent="0.25">
      <c r="A10" s="4">
        <v>128</v>
      </c>
      <c r="B10" s="5">
        <v>1.7735300000000001</v>
      </c>
      <c r="C10" s="5">
        <v>1.727746</v>
      </c>
      <c r="D10" s="5">
        <v>1.693686</v>
      </c>
      <c r="E10" s="5">
        <v>1.6570780000000001</v>
      </c>
      <c r="F10" s="5">
        <v>1.7130100000000001</v>
      </c>
    </row>
    <row r="11" spans="1:6" x14ac:dyDescent="0.25">
      <c r="A11" s="3" t="s">
        <v>186</v>
      </c>
      <c r="B11" s="5">
        <v>4.6095145000000004</v>
      </c>
      <c r="C11" s="5">
        <v>4.560300999999999</v>
      </c>
      <c r="D11" s="5">
        <v>4.4898862499999996</v>
      </c>
      <c r="E11" s="5">
        <v>4.4898862499999996</v>
      </c>
      <c r="F11" s="5">
        <v>4.5373969999999995</v>
      </c>
    </row>
    <row r="12" spans="1:6" x14ac:dyDescent="0.25">
      <c r="A12" s="4">
        <v>16</v>
      </c>
      <c r="B12" s="5">
        <v>4.645905</v>
      </c>
      <c r="C12" s="5">
        <v>4.633845</v>
      </c>
      <c r="D12" s="5">
        <v>4.5746890000000002</v>
      </c>
      <c r="E12" s="5">
        <v>4.5746890000000002</v>
      </c>
      <c r="F12" s="5">
        <v>4.6072819999999997</v>
      </c>
    </row>
    <row r="13" spans="1:6" x14ac:dyDescent="0.25">
      <c r="A13" s="4">
        <v>32</v>
      </c>
      <c r="B13" s="5">
        <v>4.6223190000000001</v>
      </c>
      <c r="C13" s="5">
        <v>4.5672090000000001</v>
      </c>
      <c r="D13" s="5">
        <v>4.4837040000000004</v>
      </c>
      <c r="E13" s="5">
        <v>4.4837040000000004</v>
      </c>
      <c r="F13" s="5">
        <v>4.5392339999999995</v>
      </c>
    </row>
    <row r="14" spans="1:6" x14ac:dyDescent="0.25">
      <c r="A14" s="4">
        <v>64</v>
      </c>
      <c r="B14" s="5">
        <v>4.585833</v>
      </c>
      <c r="C14" s="5">
        <v>4.5237769999999999</v>
      </c>
      <c r="D14" s="5">
        <v>4.4505759999999999</v>
      </c>
      <c r="E14" s="5">
        <v>4.4505759999999999</v>
      </c>
      <c r="F14" s="5">
        <v>4.5026904999999999</v>
      </c>
    </row>
    <row r="15" spans="1:6" x14ac:dyDescent="0.25">
      <c r="A15" s="4">
        <v>128</v>
      </c>
      <c r="B15" s="5">
        <v>4.5840009999999998</v>
      </c>
      <c r="C15" s="5">
        <v>4.5163729999999997</v>
      </c>
      <c r="D15" s="5">
        <v>4.4505759999999999</v>
      </c>
      <c r="E15" s="5">
        <v>4.4505759999999999</v>
      </c>
      <c r="F15" s="5">
        <v>4.5003814999999996</v>
      </c>
    </row>
    <row r="16" spans="1:6" x14ac:dyDescent="0.25">
      <c r="A16" s="3" t="s">
        <v>187</v>
      </c>
      <c r="B16" s="5">
        <v>7.0451350000000001</v>
      </c>
      <c r="C16" s="5">
        <v>7.0422627499999999</v>
      </c>
      <c r="D16" s="5">
        <v>7.0417792500000003</v>
      </c>
      <c r="E16" s="5">
        <v>7.04148525</v>
      </c>
      <c r="F16" s="5">
        <v>7.0426655624999999</v>
      </c>
    </row>
    <row r="17" spans="1:6" x14ac:dyDescent="0.25">
      <c r="A17" s="4">
        <v>16</v>
      </c>
      <c r="B17" s="5">
        <v>7.043558</v>
      </c>
      <c r="C17" s="5">
        <v>7.0423010000000001</v>
      </c>
      <c r="D17" s="5">
        <v>7.0418070000000004</v>
      </c>
      <c r="E17" s="5">
        <v>7.0414880000000002</v>
      </c>
      <c r="F17" s="5">
        <v>7.0422884999999997</v>
      </c>
    </row>
    <row r="18" spans="1:6" x14ac:dyDescent="0.25">
      <c r="A18" s="4">
        <v>32</v>
      </c>
      <c r="B18" s="5">
        <v>7.046748</v>
      </c>
      <c r="C18" s="5">
        <v>7.042268</v>
      </c>
      <c r="D18" s="5">
        <v>7.0417670000000001</v>
      </c>
      <c r="E18" s="5">
        <v>7.0415190000000001</v>
      </c>
      <c r="F18" s="5">
        <v>7.0430755000000005</v>
      </c>
    </row>
    <row r="19" spans="1:6" x14ac:dyDescent="0.25">
      <c r="A19" s="4">
        <v>64</v>
      </c>
      <c r="B19" s="5">
        <v>7.0467339999999998</v>
      </c>
      <c r="C19" s="5">
        <v>7.0422409999999998</v>
      </c>
      <c r="D19" s="5">
        <v>7.0417759999999996</v>
      </c>
      <c r="E19" s="5">
        <v>7.0414810000000001</v>
      </c>
      <c r="F19" s="5">
        <v>7.0430580000000003</v>
      </c>
    </row>
    <row r="20" spans="1:6" x14ac:dyDescent="0.25">
      <c r="A20" s="4">
        <v>128</v>
      </c>
      <c r="B20" s="5">
        <v>7.0434999999999999</v>
      </c>
      <c r="C20" s="5">
        <v>7.0422409999999998</v>
      </c>
      <c r="D20" s="5">
        <v>7.0417670000000001</v>
      </c>
      <c r="E20" s="5">
        <v>7.0414529999999997</v>
      </c>
      <c r="F20" s="5">
        <v>7.0422402499999999</v>
      </c>
    </row>
    <row r="21" spans="1:6" x14ac:dyDescent="0.25">
      <c r="A21" s="3" t="s">
        <v>188</v>
      </c>
      <c r="B21" s="5">
        <v>1.21343175</v>
      </c>
      <c r="C21" s="5">
        <v>1.1973637500000001</v>
      </c>
      <c r="D21" s="5">
        <v>1.1944154999999999</v>
      </c>
      <c r="E21" s="5">
        <v>1.1928782499999999</v>
      </c>
      <c r="F21" s="5">
        <v>1.1995223125000001</v>
      </c>
    </row>
    <row r="22" spans="1:6" x14ac:dyDescent="0.25">
      <c r="A22" s="4">
        <v>16</v>
      </c>
      <c r="B22" s="5">
        <v>1.4724429999999999</v>
      </c>
      <c r="C22" s="5">
        <v>1.4570860000000001</v>
      </c>
      <c r="D22" s="5">
        <v>1.4545809999999999</v>
      </c>
      <c r="E22" s="5">
        <v>1.4534739999999999</v>
      </c>
      <c r="F22" s="5">
        <v>1.4593959999999999</v>
      </c>
    </row>
    <row r="23" spans="1:6" x14ac:dyDescent="0.25">
      <c r="A23" s="4">
        <v>32</v>
      </c>
      <c r="B23" s="5">
        <v>1.144496</v>
      </c>
      <c r="C23" s="5">
        <v>1.127802</v>
      </c>
      <c r="D23" s="5">
        <v>1.1242639999999999</v>
      </c>
      <c r="E23" s="5">
        <v>1.122811</v>
      </c>
      <c r="F23" s="5">
        <v>1.12984325</v>
      </c>
    </row>
    <row r="24" spans="1:6" x14ac:dyDescent="0.25">
      <c r="A24" s="4">
        <v>64</v>
      </c>
      <c r="B24" s="5">
        <v>1.118433</v>
      </c>
      <c r="C24" s="5">
        <v>1.1022460000000001</v>
      </c>
      <c r="D24" s="5">
        <v>1.099343</v>
      </c>
      <c r="E24" s="5">
        <v>1.097653</v>
      </c>
      <c r="F24" s="5">
        <v>1.10441875</v>
      </c>
    </row>
    <row r="25" spans="1:6" x14ac:dyDescent="0.25">
      <c r="A25" s="4">
        <v>128</v>
      </c>
      <c r="B25" s="5">
        <v>1.118355</v>
      </c>
      <c r="C25" s="5">
        <v>1.1023210000000001</v>
      </c>
      <c r="D25" s="5">
        <v>1.0994740000000001</v>
      </c>
      <c r="E25" s="5">
        <v>1.097575</v>
      </c>
      <c r="F25" s="5">
        <v>1.10443125</v>
      </c>
    </row>
    <row r="26" spans="1:6" x14ac:dyDescent="0.25">
      <c r="A26" s="3" t="s">
        <v>189</v>
      </c>
      <c r="B26" s="5">
        <v>1.25986675</v>
      </c>
      <c r="C26" s="5">
        <v>1.2332555000000001</v>
      </c>
      <c r="D26" s="5">
        <v>1.209552</v>
      </c>
      <c r="E26" s="5">
        <v>1.1899355</v>
      </c>
      <c r="F26" s="5">
        <v>1.2231524375</v>
      </c>
    </row>
    <row r="27" spans="1:6" x14ac:dyDescent="0.25">
      <c r="A27" s="4">
        <v>16</v>
      </c>
      <c r="B27" s="5">
        <v>1.2614399999999999</v>
      </c>
      <c r="C27" s="5">
        <v>1.234974</v>
      </c>
      <c r="D27" s="5">
        <v>1.2114720000000001</v>
      </c>
      <c r="E27" s="5">
        <v>1.1918550000000001</v>
      </c>
      <c r="F27" s="5">
        <v>1.2249352499999999</v>
      </c>
    </row>
    <row r="28" spans="1:6" x14ac:dyDescent="0.25">
      <c r="A28" s="4">
        <v>32</v>
      </c>
      <c r="B28" s="5">
        <v>1.2598339999999999</v>
      </c>
      <c r="C28" s="5">
        <v>1.2333259999999999</v>
      </c>
      <c r="D28" s="5">
        <v>1.209716</v>
      </c>
      <c r="E28" s="5">
        <v>1.190126</v>
      </c>
      <c r="F28" s="5">
        <v>1.2232505</v>
      </c>
    </row>
    <row r="29" spans="1:6" x14ac:dyDescent="0.25">
      <c r="A29" s="4">
        <v>64</v>
      </c>
      <c r="B29" s="5">
        <v>1.259123</v>
      </c>
      <c r="C29" s="5">
        <v>1.2323850000000001</v>
      </c>
      <c r="D29" s="5">
        <v>1.2085399999999999</v>
      </c>
      <c r="E29" s="5">
        <v>1.188898</v>
      </c>
      <c r="F29" s="5">
        <v>1.2222364999999999</v>
      </c>
    </row>
    <row r="30" spans="1:6" x14ac:dyDescent="0.25">
      <c r="A30" s="4">
        <v>128</v>
      </c>
      <c r="B30" s="5">
        <v>1.2590699999999999</v>
      </c>
      <c r="C30" s="5">
        <v>1.232337</v>
      </c>
      <c r="D30" s="5">
        <v>1.20848</v>
      </c>
      <c r="E30" s="5">
        <v>1.188863</v>
      </c>
      <c r="F30" s="5">
        <v>1.2221875</v>
      </c>
    </row>
    <row r="31" spans="1:6" x14ac:dyDescent="0.25">
      <c r="A31" s="3" t="s">
        <v>198</v>
      </c>
      <c r="B31" s="5">
        <v>3.1803163000000003</v>
      </c>
      <c r="C31" s="5">
        <v>3.1521964000000002</v>
      </c>
      <c r="D31" s="5">
        <v>3.1258667999999994</v>
      </c>
      <c r="E31" s="5">
        <v>3.1142704999999995</v>
      </c>
      <c r="F31" s="5">
        <v>3.1431624999999999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4072F-FE14-4A9D-9571-EF3BD0AFDBA9}">
  <sheetPr codeName="Sheet7"/>
  <dimension ref="A2:F31"/>
  <sheetViews>
    <sheetView topLeftCell="I1" workbookViewId="0">
      <selection activeCell="J37" sqref="J37"/>
    </sheetView>
  </sheetViews>
  <sheetFormatPr defaultRowHeight="15" x14ac:dyDescent="0.25"/>
  <cols>
    <col min="1" max="1" width="50.7109375" bestFit="1" customWidth="1"/>
    <col min="2" max="2" width="16.28515625" bestFit="1" customWidth="1"/>
    <col min="3" max="5" width="11" bestFit="1" customWidth="1"/>
    <col min="6" max="6" width="12" bestFit="1" customWidth="1"/>
    <col min="7" max="7" width="24.5703125" bestFit="1" customWidth="1"/>
    <col min="8" max="8" width="47.140625" bestFit="1" customWidth="1"/>
    <col min="9" max="9" width="24.5703125" bestFit="1" customWidth="1"/>
    <col min="10" max="10" width="52.140625" bestFit="1" customWidth="1"/>
    <col min="11" max="11" width="29.7109375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200</v>
      </c>
      <c r="B4" s="2" t="s">
        <v>203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2.6153249999999999E-2</v>
      </c>
      <c r="C6" s="5">
        <v>2.13975E-2</v>
      </c>
      <c r="D6" s="5">
        <v>1.7753999999999999E-2</v>
      </c>
      <c r="E6" s="5">
        <v>1.4062E-2</v>
      </c>
      <c r="F6" s="5">
        <v>1.9841687500000003E-2</v>
      </c>
    </row>
    <row r="7" spans="1:6" x14ac:dyDescent="0.25">
      <c r="A7" s="4">
        <v>16</v>
      </c>
      <c r="B7" s="5">
        <v>2.6152000000000002E-2</v>
      </c>
      <c r="C7" s="5">
        <v>2.1395999999999998E-2</v>
      </c>
      <c r="D7" s="5">
        <v>1.7753999999999999E-2</v>
      </c>
      <c r="E7" s="5">
        <v>1.4061000000000001E-2</v>
      </c>
      <c r="F7" s="5">
        <v>1.9840750000000001E-2</v>
      </c>
    </row>
    <row r="8" spans="1:6" x14ac:dyDescent="0.25">
      <c r="A8" s="4">
        <v>32</v>
      </c>
      <c r="B8" s="5">
        <v>2.6154E-2</v>
      </c>
      <c r="C8" s="5">
        <v>2.1398E-2</v>
      </c>
      <c r="D8" s="5">
        <v>1.7753999999999999E-2</v>
      </c>
      <c r="E8" s="5">
        <v>1.4063000000000001E-2</v>
      </c>
      <c r="F8" s="5">
        <v>1.9842250000000002E-2</v>
      </c>
    </row>
    <row r="9" spans="1:6" x14ac:dyDescent="0.25">
      <c r="A9" s="4">
        <v>64</v>
      </c>
      <c r="B9" s="5">
        <v>2.6152999999999999E-2</v>
      </c>
      <c r="C9" s="5">
        <v>2.1398E-2</v>
      </c>
      <c r="D9" s="5">
        <v>1.7753999999999999E-2</v>
      </c>
      <c r="E9" s="5">
        <v>1.4061000000000001E-2</v>
      </c>
      <c r="F9" s="5">
        <v>1.9841500000000001E-2</v>
      </c>
    </row>
    <row r="10" spans="1:6" x14ac:dyDescent="0.25">
      <c r="A10" s="4">
        <v>128</v>
      </c>
      <c r="B10" s="5">
        <v>2.6154E-2</v>
      </c>
      <c r="C10" s="5">
        <v>2.1398E-2</v>
      </c>
      <c r="D10" s="5">
        <v>1.7753999999999999E-2</v>
      </c>
      <c r="E10" s="5">
        <v>1.4063000000000001E-2</v>
      </c>
      <c r="F10" s="5">
        <v>1.9842250000000002E-2</v>
      </c>
    </row>
    <row r="11" spans="1:6" x14ac:dyDescent="0.25">
      <c r="A11" s="3" t="s">
        <v>186</v>
      </c>
      <c r="B11" s="5">
        <v>6.1377000000000001E-2</v>
      </c>
      <c r="C11" s="5">
        <v>5.412924999999999E-2</v>
      </c>
      <c r="D11" s="5">
        <v>4.4306749999999992E-2</v>
      </c>
      <c r="E11" s="5">
        <v>4.4306749999999992E-2</v>
      </c>
      <c r="F11" s="5">
        <v>5.1029937499999997E-2</v>
      </c>
    </row>
    <row r="12" spans="1:6" x14ac:dyDescent="0.25">
      <c r="A12" s="4">
        <v>16</v>
      </c>
      <c r="B12" s="5">
        <v>6.1364000000000002E-2</v>
      </c>
      <c r="C12" s="5">
        <v>5.4117999999999999E-2</v>
      </c>
      <c r="D12" s="5">
        <v>4.4297000000000003E-2</v>
      </c>
      <c r="E12" s="5">
        <v>4.4297000000000003E-2</v>
      </c>
      <c r="F12" s="5">
        <v>5.1019000000000002E-2</v>
      </c>
    </row>
    <row r="13" spans="1:6" x14ac:dyDescent="0.25">
      <c r="A13" s="4">
        <v>32</v>
      </c>
      <c r="B13" s="5">
        <v>6.139E-2</v>
      </c>
      <c r="C13" s="5">
        <v>5.4141000000000002E-2</v>
      </c>
      <c r="D13" s="5">
        <v>4.4316000000000001E-2</v>
      </c>
      <c r="E13" s="5">
        <v>4.4316000000000001E-2</v>
      </c>
      <c r="F13" s="5">
        <v>5.1040749999999996E-2</v>
      </c>
    </row>
    <row r="14" spans="1:6" x14ac:dyDescent="0.25">
      <c r="A14" s="4">
        <v>64</v>
      </c>
      <c r="B14" s="5">
        <v>6.1377000000000001E-2</v>
      </c>
      <c r="C14" s="5">
        <v>5.4128999999999997E-2</v>
      </c>
      <c r="D14" s="5">
        <v>4.4306999999999999E-2</v>
      </c>
      <c r="E14" s="5">
        <v>4.4306999999999999E-2</v>
      </c>
      <c r="F14" s="5">
        <v>5.1029999999999992E-2</v>
      </c>
    </row>
    <row r="15" spans="1:6" x14ac:dyDescent="0.25">
      <c r="A15" s="4">
        <v>128</v>
      </c>
      <c r="B15" s="5">
        <v>6.1377000000000001E-2</v>
      </c>
      <c r="C15" s="5">
        <v>5.4128999999999997E-2</v>
      </c>
      <c r="D15" s="5">
        <v>4.4306999999999999E-2</v>
      </c>
      <c r="E15" s="5">
        <v>4.4306999999999999E-2</v>
      </c>
      <c r="F15" s="5">
        <v>5.1029999999999992E-2</v>
      </c>
    </row>
    <row r="16" spans="1:6" x14ac:dyDescent="0.25">
      <c r="A16" s="3" t="s">
        <v>187</v>
      </c>
      <c r="B16" s="5">
        <v>0.12200999999999999</v>
      </c>
      <c r="C16" s="5">
        <v>0.12191225</v>
      </c>
      <c r="D16" s="5">
        <v>0.12187000000000001</v>
      </c>
      <c r="E16" s="5">
        <v>0.12184499999999999</v>
      </c>
      <c r="F16" s="5">
        <v>0.12190931250000001</v>
      </c>
    </row>
    <row r="17" spans="1:6" x14ac:dyDescent="0.25">
      <c r="A17" s="4">
        <v>16</v>
      </c>
      <c r="B17" s="5">
        <v>0.12200999999999999</v>
      </c>
      <c r="C17" s="5">
        <v>0.12191200000000001</v>
      </c>
      <c r="D17" s="5">
        <v>0.12187000000000001</v>
      </c>
      <c r="E17" s="5">
        <v>0.12184499999999999</v>
      </c>
      <c r="F17" s="5">
        <v>0.12190925</v>
      </c>
    </row>
    <row r="18" spans="1:6" x14ac:dyDescent="0.25">
      <c r="A18" s="4">
        <v>32</v>
      </c>
      <c r="B18" s="5">
        <v>0.12200999999999999</v>
      </c>
      <c r="C18" s="5">
        <v>0.12191200000000001</v>
      </c>
      <c r="D18" s="5">
        <v>0.12187000000000001</v>
      </c>
      <c r="E18" s="5">
        <v>0.12184499999999999</v>
      </c>
      <c r="F18" s="5">
        <v>0.12190925</v>
      </c>
    </row>
    <row r="19" spans="1:6" x14ac:dyDescent="0.25">
      <c r="A19" s="4">
        <v>64</v>
      </c>
      <c r="B19" s="5">
        <v>0.12200999999999999</v>
      </c>
      <c r="C19" s="5">
        <v>0.12191200000000001</v>
      </c>
      <c r="D19" s="5">
        <v>0.12187000000000001</v>
      </c>
      <c r="E19" s="5">
        <v>0.12184499999999999</v>
      </c>
      <c r="F19" s="5">
        <v>0.12190925</v>
      </c>
    </row>
    <row r="20" spans="1:6" x14ac:dyDescent="0.25">
      <c r="A20" s="4">
        <v>128</v>
      </c>
      <c r="B20" s="5">
        <v>0.12200999999999999</v>
      </c>
      <c r="C20" s="5">
        <v>0.12191299999999999</v>
      </c>
      <c r="D20" s="5">
        <v>0.12187000000000001</v>
      </c>
      <c r="E20" s="5">
        <v>0.12184499999999999</v>
      </c>
      <c r="F20" s="5">
        <v>0.1219095</v>
      </c>
    </row>
    <row r="21" spans="1:6" x14ac:dyDescent="0.25">
      <c r="A21" s="3" t="s">
        <v>188</v>
      </c>
      <c r="B21" s="5">
        <v>7.5840000000000005E-3</v>
      </c>
      <c r="C21" s="5">
        <v>3.2287500000000003E-3</v>
      </c>
      <c r="D21" s="5">
        <v>2.5589999999999996E-3</v>
      </c>
      <c r="E21" s="5">
        <v>2.2192499999999999E-3</v>
      </c>
      <c r="F21" s="5">
        <v>3.8977500000000002E-3</v>
      </c>
    </row>
    <row r="22" spans="1:6" x14ac:dyDescent="0.25">
      <c r="A22" s="4">
        <v>16</v>
      </c>
      <c r="B22" s="5">
        <v>6.6990000000000001E-3</v>
      </c>
      <c r="C22" s="5">
        <v>3.2200000000000002E-3</v>
      </c>
      <c r="D22" s="5">
        <v>2.5539999999999998E-3</v>
      </c>
      <c r="E22" s="5">
        <v>2.2169999999999998E-3</v>
      </c>
      <c r="F22" s="5">
        <v>3.6725000000000004E-3</v>
      </c>
    </row>
    <row r="23" spans="1:6" x14ac:dyDescent="0.25">
      <c r="A23" s="4">
        <v>32</v>
      </c>
      <c r="B23" s="5">
        <v>7.8790000000000006E-3</v>
      </c>
      <c r="C23" s="5">
        <v>3.2309999999999999E-3</v>
      </c>
      <c r="D23" s="5">
        <v>2.5609999999999999E-3</v>
      </c>
      <c r="E23" s="5">
        <v>2.2200000000000002E-3</v>
      </c>
      <c r="F23" s="5">
        <v>3.9727499999999997E-3</v>
      </c>
    </row>
    <row r="24" spans="1:6" x14ac:dyDescent="0.25">
      <c r="A24" s="4">
        <v>64</v>
      </c>
      <c r="B24" s="5">
        <v>7.8790000000000006E-3</v>
      </c>
      <c r="C24" s="5">
        <v>3.2320000000000001E-3</v>
      </c>
      <c r="D24" s="5">
        <v>2.5600000000000002E-3</v>
      </c>
      <c r="E24" s="5">
        <v>2.2200000000000002E-3</v>
      </c>
      <c r="F24" s="5">
        <v>3.9727500000000006E-3</v>
      </c>
    </row>
    <row r="25" spans="1:6" x14ac:dyDescent="0.25">
      <c r="A25" s="4">
        <v>128</v>
      </c>
      <c r="B25" s="5">
        <v>7.8790000000000006E-3</v>
      </c>
      <c r="C25" s="5">
        <v>3.2320000000000001E-3</v>
      </c>
      <c r="D25" s="5">
        <v>2.5609999999999999E-3</v>
      </c>
      <c r="E25" s="5">
        <v>2.2200000000000002E-3</v>
      </c>
      <c r="F25" s="5">
        <v>3.973E-3</v>
      </c>
    </row>
    <row r="26" spans="1:6" x14ac:dyDescent="0.25">
      <c r="A26" s="3" t="s">
        <v>189</v>
      </c>
      <c r="B26" s="5">
        <v>8.3317500000000006E-3</v>
      </c>
      <c r="C26" s="5">
        <v>5.777E-3</v>
      </c>
      <c r="D26" s="5">
        <v>3.4680000000000002E-3</v>
      </c>
      <c r="E26" s="5">
        <v>1.493E-3</v>
      </c>
      <c r="F26" s="5">
        <v>4.7674375E-3</v>
      </c>
    </row>
    <row r="27" spans="1:6" x14ac:dyDescent="0.25">
      <c r="A27" s="4">
        <v>16</v>
      </c>
      <c r="B27" s="5">
        <v>8.3309999999999999E-3</v>
      </c>
      <c r="C27" s="5">
        <v>5.777E-3</v>
      </c>
      <c r="D27" s="5">
        <v>3.4680000000000002E-3</v>
      </c>
      <c r="E27" s="5">
        <v>1.493E-3</v>
      </c>
      <c r="F27" s="5">
        <v>4.7672499999999998E-3</v>
      </c>
    </row>
    <row r="28" spans="1:6" x14ac:dyDescent="0.25">
      <c r="A28" s="4">
        <v>32</v>
      </c>
      <c r="B28" s="5">
        <v>8.3320000000000009E-3</v>
      </c>
      <c r="C28" s="5">
        <v>5.777E-3</v>
      </c>
      <c r="D28" s="5">
        <v>3.4680000000000002E-3</v>
      </c>
      <c r="E28" s="5">
        <v>1.493E-3</v>
      </c>
      <c r="F28" s="5">
        <v>4.7675E-3</v>
      </c>
    </row>
    <row r="29" spans="1:6" x14ac:dyDescent="0.25">
      <c r="A29" s="4">
        <v>64</v>
      </c>
      <c r="B29" s="5">
        <v>8.3320000000000009E-3</v>
      </c>
      <c r="C29" s="5">
        <v>5.777E-3</v>
      </c>
      <c r="D29" s="5">
        <v>3.4680000000000002E-3</v>
      </c>
      <c r="E29" s="5">
        <v>1.493E-3</v>
      </c>
      <c r="F29" s="5">
        <v>4.7675E-3</v>
      </c>
    </row>
    <row r="30" spans="1:6" x14ac:dyDescent="0.25">
      <c r="A30" s="4">
        <v>128</v>
      </c>
      <c r="B30" s="5">
        <v>8.3320000000000009E-3</v>
      </c>
      <c r="C30" s="5">
        <v>5.777E-3</v>
      </c>
      <c r="D30" s="5">
        <v>3.4680000000000002E-3</v>
      </c>
      <c r="E30" s="5">
        <v>1.493E-3</v>
      </c>
      <c r="F30" s="5">
        <v>4.7675E-3</v>
      </c>
    </row>
    <row r="31" spans="1:6" x14ac:dyDescent="0.25">
      <c r="A31" s="3" t="s">
        <v>198</v>
      </c>
      <c r="B31" s="5">
        <v>4.5091199999999991E-2</v>
      </c>
      <c r="C31" s="5">
        <v>4.1288950000000005E-2</v>
      </c>
      <c r="D31" s="5">
        <v>3.7991550000000013E-2</v>
      </c>
      <c r="E31" s="5">
        <v>3.678519999999999E-2</v>
      </c>
      <c r="F31" s="5">
        <v>4.0289224999999998E-2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D70B-1BE2-4D7F-A40E-889D1B1AE8E8}">
  <sheetPr codeName="Sheet8"/>
  <dimension ref="A2:F31"/>
  <sheetViews>
    <sheetView topLeftCell="I1" workbookViewId="0">
      <selection activeCell="K37" sqref="K37"/>
    </sheetView>
  </sheetViews>
  <sheetFormatPr defaultRowHeight="15" x14ac:dyDescent="0.25"/>
  <cols>
    <col min="1" max="1" width="50" bestFit="1" customWidth="1"/>
    <col min="2" max="2" width="16.28515625" bestFit="1" customWidth="1"/>
    <col min="3" max="5" width="11" bestFit="1" customWidth="1"/>
    <col min="6" max="6" width="12" bestFit="1" customWidth="1"/>
    <col min="7" max="7" width="46.5703125" bestFit="1" customWidth="1"/>
    <col min="8" max="8" width="50.7109375" bestFit="1" customWidth="1"/>
    <col min="9" max="9" width="46.5703125" bestFit="1" customWidth="1"/>
    <col min="10" max="10" width="55.7109375" bestFit="1" customWidth="1"/>
    <col min="11" max="11" width="51.5703125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201</v>
      </c>
      <c r="B4" s="2" t="s">
        <v>203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1.2349999999999999E-4</v>
      </c>
      <c r="C6" s="5">
        <v>1.2200000000000001E-4</v>
      </c>
      <c r="D6" s="5">
        <v>1.2200000000000001E-4</v>
      </c>
      <c r="E6" s="5">
        <v>1.2200000000000001E-4</v>
      </c>
      <c r="F6" s="5">
        <v>1.2237500000000001E-4</v>
      </c>
    </row>
    <row r="7" spans="1:6" x14ac:dyDescent="0.25">
      <c r="A7" s="4">
        <v>16</v>
      </c>
      <c r="B7" s="5">
        <v>2.5999999999999998E-4</v>
      </c>
      <c r="C7" s="5">
        <v>2.5399999999999999E-4</v>
      </c>
      <c r="D7" s="5">
        <v>2.5399999999999999E-4</v>
      </c>
      <c r="E7" s="5">
        <v>2.5399999999999999E-4</v>
      </c>
      <c r="F7" s="5">
        <v>2.5549999999999998E-4</v>
      </c>
    </row>
    <row r="8" spans="1:6" x14ac:dyDescent="0.25">
      <c r="A8" s="4">
        <v>32</v>
      </c>
      <c r="B8" s="5">
        <v>8.6000000000000003E-5</v>
      </c>
      <c r="C8" s="5">
        <v>8.6000000000000003E-5</v>
      </c>
      <c r="D8" s="5">
        <v>8.6000000000000003E-5</v>
      </c>
      <c r="E8" s="5">
        <v>8.6000000000000003E-5</v>
      </c>
      <c r="F8" s="5">
        <v>8.6000000000000003E-5</v>
      </c>
    </row>
    <row r="9" spans="1:6" x14ac:dyDescent="0.25">
      <c r="A9" s="4">
        <v>64</v>
      </c>
      <c r="B9" s="5">
        <v>7.6000000000000004E-5</v>
      </c>
      <c r="C9" s="5">
        <v>7.6000000000000004E-5</v>
      </c>
      <c r="D9" s="5">
        <v>7.6000000000000004E-5</v>
      </c>
      <c r="E9" s="5">
        <v>7.6000000000000004E-5</v>
      </c>
      <c r="F9" s="5">
        <v>7.6000000000000004E-5</v>
      </c>
    </row>
    <row r="10" spans="1:6" x14ac:dyDescent="0.25">
      <c r="A10" s="4">
        <v>128</v>
      </c>
      <c r="B10" s="5">
        <v>7.2000000000000002E-5</v>
      </c>
      <c r="C10" s="5">
        <v>7.2000000000000002E-5</v>
      </c>
      <c r="D10" s="5">
        <v>7.2000000000000002E-5</v>
      </c>
      <c r="E10" s="5">
        <v>7.2000000000000002E-5</v>
      </c>
      <c r="F10" s="5">
        <v>7.2000000000000002E-5</v>
      </c>
    </row>
    <row r="11" spans="1:6" x14ac:dyDescent="0.25">
      <c r="A11" s="3" t="s">
        <v>186</v>
      </c>
      <c r="B11" s="5">
        <v>8.2289499999999988E-2</v>
      </c>
      <c r="C11" s="5">
        <v>8.2602750000000003E-2</v>
      </c>
      <c r="D11" s="5">
        <v>8.2848250000000012E-2</v>
      </c>
      <c r="E11" s="5">
        <v>8.2848250000000012E-2</v>
      </c>
      <c r="F11" s="5">
        <v>8.2647187499999997E-2</v>
      </c>
    </row>
    <row r="12" spans="1:6" x14ac:dyDescent="0.25">
      <c r="A12" s="4">
        <v>16</v>
      </c>
      <c r="B12" s="5">
        <v>9.2370999999999995E-2</v>
      </c>
      <c r="C12" s="5">
        <v>9.2795000000000002E-2</v>
      </c>
      <c r="D12" s="5">
        <v>9.2743000000000006E-2</v>
      </c>
      <c r="E12" s="5">
        <v>9.2743000000000006E-2</v>
      </c>
      <c r="F12" s="5">
        <v>9.2663000000000009E-2</v>
      </c>
    </row>
    <row r="13" spans="1:6" x14ac:dyDescent="0.25">
      <c r="A13" s="4">
        <v>32</v>
      </c>
      <c r="B13" s="5">
        <v>8.1946000000000005E-2</v>
      </c>
      <c r="C13" s="5">
        <v>8.2102999999999995E-2</v>
      </c>
      <c r="D13" s="5">
        <v>8.2461000000000007E-2</v>
      </c>
      <c r="E13" s="5">
        <v>8.2461000000000007E-2</v>
      </c>
      <c r="F13" s="5">
        <v>8.2242750000000003E-2</v>
      </c>
    </row>
    <row r="14" spans="1:6" x14ac:dyDescent="0.25">
      <c r="A14" s="4">
        <v>64</v>
      </c>
      <c r="B14" s="5">
        <v>7.7635999999999997E-2</v>
      </c>
      <c r="C14" s="5">
        <v>7.7973000000000001E-2</v>
      </c>
      <c r="D14" s="5">
        <v>7.8312000000000007E-2</v>
      </c>
      <c r="E14" s="5">
        <v>7.8312000000000007E-2</v>
      </c>
      <c r="F14" s="5">
        <v>7.8058249999999996E-2</v>
      </c>
    </row>
    <row r="15" spans="1:6" x14ac:dyDescent="0.25">
      <c r="A15" s="4">
        <v>128</v>
      </c>
      <c r="B15" s="5">
        <v>7.7204999999999996E-2</v>
      </c>
      <c r="C15" s="5">
        <v>7.7539999999999998E-2</v>
      </c>
      <c r="D15" s="5">
        <v>7.7877000000000002E-2</v>
      </c>
      <c r="E15" s="5">
        <v>7.7877000000000002E-2</v>
      </c>
      <c r="F15" s="5">
        <v>7.7624749999999992E-2</v>
      </c>
    </row>
    <row r="16" spans="1:6" x14ac:dyDescent="0.25">
      <c r="A16" s="3" t="s">
        <v>187</v>
      </c>
      <c r="B16" s="5">
        <v>2.0999999999999999E-5</v>
      </c>
      <c r="C16" s="5">
        <v>2.0999999999999999E-5</v>
      </c>
      <c r="D16" s="5">
        <v>2.0999999999999999E-5</v>
      </c>
      <c r="E16" s="5">
        <v>2.0999999999999999E-5</v>
      </c>
      <c r="F16" s="5">
        <v>2.0999999999999999E-5</v>
      </c>
    </row>
    <row r="17" spans="1:6" x14ac:dyDescent="0.25">
      <c r="A17" s="4">
        <v>16</v>
      </c>
      <c r="B17" s="5">
        <v>2.4000000000000001E-5</v>
      </c>
      <c r="C17" s="5">
        <v>2.4000000000000001E-5</v>
      </c>
      <c r="D17" s="5">
        <v>2.4000000000000001E-5</v>
      </c>
      <c r="E17" s="5">
        <v>2.4000000000000001E-5</v>
      </c>
      <c r="F17" s="5">
        <v>2.4000000000000001E-5</v>
      </c>
    </row>
    <row r="18" spans="1:6" x14ac:dyDescent="0.25">
      <c r="A18" s="4">
        <v>32</v>
      </c>
      <c r="B18" s="5">
        <v>2.0999999999999999E-5</v>
      </c>
      <c r="C18" s="5">
        <v>2.0999999999999999E-5</v>
      </c>
      <c r="D18" s="5">
        <v>2.0999999999999999E-5</v>
      </c>
      <c r="E18" s="5">
        <v>2.0999999999999999E-5</v>
      </c>
      <c r="F18" s="5">
        <v>2.0999999999999999E-5</v>
      </c>
    </row>
    <row r="19" spans="1:6" x14ac:dyDescent="0.25">
      <c r="A19" s="4">
        <v>64</v>
      </c>
      <c r="B19" s="5">
        <v>2.0000000000000002E-5</v>
      </c>
      <c r="C19" s="5">
        <v>2.0000000000000002E-5</v>
      </c>
      <c r="D19" s="5">
        <v>2.0000000000000002E-5</v>
      </c>
      <c r="E19" s="5">
        <v>2.0000000000000002E-5</v>
      </c>
      <c r="F19" s="5">
        <v>2.0000000000000002E-5</v>
      </c>
    </row>
    <row r="20" spans="1:6" x14ac:dyDescent="0.25">
      <c r="A20" s="4">
        <v>128</v>
      </c>
      <c r="B20" s="5">
        <v>1.9000000000000001E-5</v>
      </c>
      <c r="C20" s="5">
        <v>1.9000000000000001E-5</v>
      </c>
      <c r="D20" s="5">
        <v>1.9000000000000001E-5</v>
      </c>
      <c r="E20" s="5">
        <v>1.9000000000000001E-5</v>
      </c>
      <c r="F20" s="5">
        <v>1.9000000000000001E-5</v>
      </c>
    </row>
    <row r="21" spans="1:6" x14ac:dyDescent="0.25">
      <c r="A21" s="3" t="s">
        <v>188</v>
      </c>
      <c r="B21" s="5">
        <v>1.6469750000000002E-2</v>
      </c>
      <c r="C21" s="5">
        <v>1.6470750000000003E-2</v>
      </c>
      <c r="D21" s="5">
        <v>1.6471250000000003E-2</v>
      </c>
      <c r="E21" s="5">
        <v>1.647175E-2</v>
      </c>
      <c r="F21" s="5">
        <v>1.6470875000000003E-2</v>
      </c>
    </row>
    <row r="22" spans="1:6" x14ac:dyDescent="0.25">
      <c r="A22" s="4">
        <v>16</v>
      </c>
      <c r="B22" s="5">
        <v>6.1148000000000001E-2</v>
      </c>
      <c r="C22" s="5">
        <v>6.1151999999999998E-2</v>
      </c>
      <c r="D22" s="5">
        <v>6.1154E-2</v>
      </c>
      <c r="E22" s="5">
        <v>6.1155000000000001E-2</v>
      </c>
      <c r="F22" s="5">
        <v>6.1152250000000005E-2</v>
      </c>
    </row>
    <row r="23" spans="1:6" x14ac:dyDescent="0.25">
      <c r="A23" s="4">
        <v>32</v>
      </c>
      <c r="B23" s="5">
        <v>4.6680000000000003E-3</v>
      </c>
      <c r="C23" s="5">
        <v>4.6680000000000003E-3</v>
      </c>
      <c r="D23" s="5">
        <v>4.6680000000000003E-3</v>
      </c>
      <c r="E23" s="5">
        <v>4.6680000000000003E-3</v>
      </c>
      <c r="F23" s="5">
        <v>4.6680000000000003E-3</v>
      </c>
    </row>
    <row r="24" spans="1:6" x14ac:dyDescent="0.25">
      <c r="A24" s="4">
        <v>64</v>
      </c>
      <c r="B24" s="5">
        <v>3.4E-5</v>
      </c>
      <c r="C24" s="5">
        <v>3.4E-5</v>
      </c>
      <c r="D24" s="5">
        <v>3.4E-5</v>
      </c>
      <c r="E24" s="5">
        <v>3.4999999999999997E-5</v>
      </c>
      <c r="F24" s="5">
        <v>3.4249999999999999E-5</v>
      </c>
    </row>
    <row r="25" spans="1:6" x14ac:dyDescent="0.25">
      <c r="A25" s="4">
        <v>128</v>
      </c>
      <c r="B25" s="5">
        <v>2.9E-5</v>
      </c>
      <c r="C25" s="5">
        <v>2.9E-5</v>
      </c>
      <c r="D25" s="5">
        <v>2.9E-5</v>
      </c>
      <c r="E25" s="5">
        <v>2.9E-5</v>
      </c>
      <c r="F25" s="5">
        <v>2.9E-5</v>
      </c>
    </row>
    <row r="26" spans="1:6" x14ac:dyDescent="0.25">
      <c r="A26" s="3" t="s">
        <v>189</v>
      </c>
      <c r="B26" s="5">
        <v>5.2099999999999998E-4</v>
      </c>
      <c r="C26" s="5">
        <v>5.1974999999999992E-4</v>
      </c>
      <c r="D26" s="5">
        <v>5.1749999999999995E-4</v>
      </c>
      <c r="E26" s="5">
        <v>5.1649999999999992E-4</v>
      </c>
      <c r="F26" s="5">
        <v>5.1868749999999994E-4</v>
      </c>
    </row>
    <row r="27" spans="1:6" x14ac:dyDescent="0.25">
      <c r="A27" s="4">
        <v>16</v>
      </c>
      <c r="B27" s="5">
        <v>1.1980000000000001E-3</v>
      </c>
      <c r="C27" s="5">
        <v>1.194E-3</v>
      </c>
      <c r="D27" s="5">
        <v>1.188E-3</v>
      </c>
      <c r="E27" s="5">
        <v>1.1839999999999999E-3</v>
      </c>
      <c r="F27" s="5">
        <v>1.191E-3</v>
      </c>
    </row>
    <row r="28" spans="1:6" x14ac:dyDescent="0.25">
      <c r="A28" s="4">
        <v>32</v>
      </c>
      <c r="B28" s="5">
        <v>6.2699999999999995E-4</v>
      </c>
      <c r="C28" s="5">
        <v>6.2600000000000004E-4</v>
      </c>
      <c r="D28" s="5">
        <v>6.2399999999999999E-4</v>
      </c>
      <c r="E28" s="5">
        <v>6.2399999999999999E-4</v>
      </c>
      <c r="F28" s="5">
        <v>6.2524999999999994E-4</v>
      </c>
    </row>
    <row r="29" spans="1:6" x14ac:dyDescent="0.25">
      <c r="A29" s="4">
        <v>64</v>
      </c>
      <c r="B29" s="5">
        <v>1.36E-4</v>
      </c>
      <c r="C29" s="5">
        <v>1.36E-4</v>
      </c>
      <c r="D29" s="5">
        <v>1.35E-4</v>
      </c>
      <c r="E29" s="5">
        <v>1.35E-4</v>
      </c>
      <c r="F29" s="5">
        <v>1.3550000000000001E-4</v>
      </c>
    </row>
    <row r="30" spans="1:6" x14ac:dyDescent="0.25">
      <c r="A30" s="4">
        <v>128</v>
      </c>
      <c r="B30" s="5">
        <v>1.2300000000000001E-4</v>
      </c>
      <c r="C30" s="5">
        <v>1.2300000000000001E-4</v>
      </c>
      <c r="D30" s="5">
        <v>1.2300000000000001E-4</v>
      </c>
      <c r="E30" s="5">
        <v>1.2300000000000001E-4</v>
      </c>
      <c r="F30" s="5">
        <v>1.2300000000000001E-4</v>
      </c>
    </row>
    <row r="31" spans="1:6" x14ac:dyDescent="0.25">
      <c r="A31" s="3" t="s">
        <v>198</v>
      </c>
      <c r="B31" s="5">
        <v>1.9884949999999995E-2</v>
      </c>
      <c r="C31" s="5">
        <v>1.994725E-2</v>
      </c>
      <c r="D31" s="5">
        <v>1.9996E-2</v>
      </c>
      <c r="E31" s="5">
        <v>1.9995900000000004E-2</v>
      </c>
      <c r="F31" s="5">
        <v>1.9956025000000006E-2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1272F-8E8F-43A5-AC15-19B053A4FB4D}">
  <sheetPr codeName="Sheet9"/>
  <dimension ref="A2:F31"/>
  <sheetViews>
    <sheetView topLeftCell="E1" workbookViewId="0">
      <selection activeCell="L32" sqref="L32"/>
    </sheetView>
  </sheetViews>
  <sheetFormatPr defaultRowHeight="15" x14ac:dyDescent="0.25"/>
  <cols>
    <col min="1" max="1" width="42.140625" bestFit="1" customWidth="1"/>
    <col min="2" max="2" width="16.28515625" bestFit="1" customWidth="1"/>
    <col min="3" max="5" width="11" bestFit="1" customWidth="1"/>
    <col min="6" max="6" width="12" bestFit="1" customWidth="1"/>
    <col min="7" max="7" width="46.5703125" bestFit="1" customWidth="1"/>
    <col min="8" max="8" width="50.7109375" bestFit="1" customWidth="1"/>
    <col min="9" max="9" width="46.5703125" bestFit="1" customWidth="1"/>
    <col min="10" max="10" width="55.7109375" bestFit="1" customWidth="1"/>
    <col min="11" max="11" width="51.5703125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202</v>
      </c>
      <c r="B4" s="2" t="s">
        <v>203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0.221389</v>
      </c>
      <c r="C6" s="5">
        <v>0.27170824999999998</v>
      </c>
      <c r="D6" s="5">
        <v>0.32954675</v>
      </c>
      <c r="E6" s="5">
        <v>0.42147125000000002</v>
      </c>
      <c r="F6" s="5">
        <v>0.31102881250000003</v>
      </c>
    </row>
    <row r="7" spans="1:6" x14ac:dyDescent="0.25">
      <c r="A7" s="4">
        <v>16</v>
      </c>
      <c r="B7" s="5">
        <v>0.221191</v>
      </c>
      <c r="C7" s="5">
        <v>0.27140900000000001</v>
      </c>
      <c r="D7" s="5">
        <v>0.32909899999999997</v>
      </c>
      <c r="E7" s="5">
        <v>0.420709</v>
      </c>
      <c r="F7" s="5">
        <v>0.31060199999999999</v>
      </c>
    </row>
    <row r="8" spans="1:6" x14ac:dyDescent="0.25">
      <c r="A8" s="4">
        <v>32</v>
      </c>
      <c r="B8" s="5">
        <v>0.22145300000000001</v>
      </c>
      <c r="C8" s="5">
        <v>0.27180100000000001</v>
      </c>
      <c r="D8" s="5">
        <v>0.329683</v>
      </c>
      <c r="E8" s="5">
        <v>0.42169699999999999</v>
      </c>
      <c r="F8" s="5">
        <v>0.3111585</v>
      </c>
    </row>
    <row r="9" spans="1:6" x14ac:dyDescent="0.25">
      <c r="A9" s="4">
        <v>64</v>
      </c>
      <c r="B9" s="5">
        <v>0.22145599999999999</v>
      </c>
      <c r="C9" s="5">
        <v>0.27181100000000002</v>
      </c>
      <c r="D9" s="5">
        <v>0.329702</v>
      </c>
      <c r="E9" s="5">
        <v>0.421736</v>
      </c>
      <c r="F9" s="5">
        <v>0.31117625000000004</v>
      </c>
    </row>
    <row r="10" spans="1:6" x14ac:dyDescent="0.25">
      <c r="A10" s="4">
        <v>128</v>
      </c>
      <c r="B10" s="5">
        <v>0.22145599999999999</v>
      </c>
      <c r="C10" s="5">
        <v>0.271812</v>
      </c>
      <c r="D10" s="5">
        <v>0.32970300000000002</v>
      </c>
      <c r="E10" s="5">
        <v>0.42174299999999998</v>
      </c>
      <c r="F10" s="5">
        <v>0.31117850000000002</v>
      </c>
    </row>
    <row r="11" spans="1:6" x14ac:dyDescent="0.25">
      <c r="A11" s="3" t="s">
        <v>186</v>
      </c>
      <c r="B11" s="5">
        <v>0.81681550000000003</v>
      </c>
      <c r="C11" s="5">
        <v>0.86311824999999998</v>
      </c>
      <c r="D11" s="5">
        <v>0.92044375</v>
      </c>
      <c r="E11" s="5">
        <v>0.92044375</v>
      </c>
      <c r="F11" s="5">
        <v>0.8802053125</v>
      </c>
    </row>
    <row r="12" spans="1:6" x14ac:dyDescent="0.25">
      <c r="A12" s="4">
        <v>16</v>
      </c>
      <c r="B12" s="5">
        <v>0.75925900000000002</v>
      </c>
      <c r="C12" s="5">
        <v>0.79870099999999999</v>
      </c>
      <c r="D12" s="5">
        <v>0.84974099999999997</v>
      </c>
      <c r="E12" s="5">
        <v>0.84974099999999997</v>
      </c>
      <c r="F12" s="5">
        <v>0.81436049999999993</v>
      </c>
    </row>
    <row r="13" spans="1:6" x14ac:dyDescent="0.25">
      <c r="A13" s="4">
        <v>32</v>
      </c>
      <c r="B13" s="5">
        <v>0.817276</v>
      </c>
      <c r="C13" s="5">
        <v>0.86467499999999997</v>
      </c>
      <c r="D13" s="5">
        <v>0.92134799999999994</v>
      </c>
      <c r="E13" s="5">
        <v>0.92134799999999994</v>
      </c>
      <c r="F13" s="5">
        <v>0.88116174999999997</v>
      </c>
    </row>
    <row r="14" spans="1:6" x14ac:dyDescent="0.25">
      <c r="A14" s="4">
        <v>64</v>
      </c>
      <c r="B14" s="5">
        <v>0.84391099999999997</v>
      </c>
      <c r="C14" s="5">
        <v>0.89292199999999999</v>
      </c>
      <c r="D14" s="5">
        <v>0.953488</v>
      </c>
      <c r="E14" s="5">
        <v>0.953488</v>
      </c>
      <c r="F14" s="5">
        <v>0.91095225000000002</v>
      </c>
    </row>
    <row r="15" spans="1:6" x14ac:dyDescent="0.25">
      <c r="A15" s="4">
        <v>128</v>
      </c>
      <c r="B15" s="5">
        <v>0.84681600000000001</v>
      </c>
      <c r="C15" s="5">
        <v>0.89617500000000005</v>
      </c>
      <c r="D15" s="5">
        <v>0.95719799999999999</v>
      </c>
      <c r="E15" s="5">
        <v>0.95719799999999999</v>
      </c>
      <c r="F15" s="5">
        <v>0.91434674999999999</v>
      </c>
    </row>
    <row r="16" spans="1:6" x14ac:dyDescent="0.25">
      <c r="A16" s="3" t="s">
        <v>187</v>
      </c>
      <c r="B16" s="5">
        <v>0.99703775000000006</v>
      </c>
      <c r="C16" s="5">
        <v>0.99862474999999995</v>
      </c>
      <c r="D16" s="5">
        <v>0.99932200000000004</v>
      </c>
      <c r="E16" s="5">
        <v>0.9997299999999999</v>
      </c>
      <c r="F16" s="5">
        <v>0.99867862499999993</v>
      </c>
    </row>
    <row r="17" spans="1:6" x14ac:dyDescent="0.25">
      <c r="A17" s="4">
        <v>16</v>
      </c>
      <c r="B17" s="5">
        <v>0.99702100000000005</v>
      </c>
      <c r="C17" s="5">
        <v>0.99860800000000005</v>
      </c>
      <c r="D17" s="5">
        <v>0.999305</v>
      </c>
      <c r="E17" s="5">
        <v>0.99971299999999996</v>
      </c>
      <c r="F17" s="5">
        <v>0.99866175000000001</v>
      </c>
    </row>
    <row r="18" spans="1:6" x14ac:dyDescent="0.25">
      <c r="A18" s="4">
        <v>32</v>
      </c>
      <c r="B18" s="5">
        <v>0.99703699999999995</v>
      </c>
      <c r="C18" s="5">
        <v>0.99862399999999996</v>
      </c>
      <c r="D18" s="5">
        <v>0.99932200000000004</v>
      </c>
      <c r="E18" s="5">
        <v>0.99973000000000001</v>
      </c>
      <c r="F18" s="5">
        <v>0.99867824999999999</v>
      </c>
    </row>
    <row r="19" spans="1:6" x14ac:dyDescent="0.25">
      <c r="A19" s="4">
        <v>64</v>
      </c>
      <c r="B19" s="5">
        <v>0.99704300000000001</v>
      </c>
      <c r="C19" s="5">
        <v>0.99863000000000002</v>
      </c>
      <c r="D19" s="5">
        <v>0.99932699999999997</v>
      </c>
      <c r="E19" s="5">
        <v>0.99973500000000004</v>
      </c>
      <c r="F19" s="5">
        <v>0.99868375000000009</v>
      </c>
    </row>
    <row r="20" spans="1:6" x14ac:dyDescent="0.25">
      <c r="A20" s="4">
        <v>128</v>
      </c>
      <c r="B20" s="5">
        <v>0.99704999999999999</v>
      </c>
      <c r="C20" s="5">
        <v>0.998637</v>
      </c>
      <c r="D20" s="5">
        <v>0.99933399999999994</v>
      </c>
      <c r="E20" s="5">
        <v>0.99974200000000002</v>
      </c>
      <c r="F20" s="5">
        <v>0.99869074999999996</v>
      </c>
    </row>
    <row r="21" spans="1:6" x14ac:dyDescent="0.25">
      <c r="A21" s="3" t="s">
        <v>188</v>
      </c>
      <c r="B21" s="5">
        <v>0.15650125000000001</v>
      </c>
      <c r="C21" s="5">
        <v>0.33178174999999999</v>
      </c>
      <c r="D21" s="5">
        <v>0.4070415</v>
      </c>
      <c r="E21" s="5">
        <v>0.46495299999999995</v>
      </c>
      <c r="F21" s="5">
        <v>0.34006937500000001</v>
      </c>
    </row>
    <row r="22" spans="1:6" x14ac:dyDescent="0.25">
      <c r="A22" s="4">
        <v>16</v>
      </c>
      <c r="B22" s="5">
        <v>2.4827999999999999E-2</v>
      </c>
      <c r="C22" s="5">
        <v>2.6505000000000001E-2</v>
      </c>
      <c r="D22" s="5">
        <v>2.6834E-2</v>
      </c>
      <c r="E22" s="5">
        <v>2.7237999999999998E-2</v>
      </c>
      <c r="F22" s="5">
        <v>2.635125E-2</v>
      </c>
    </row>
    <row r="23" spans="1:6" x14ac:dyDescent="0.25">
      <c r="A23" s="4">
        <v>32</v>
      </c>
      <c r="B23" s="5">
        <v>0.14080999999999999</v>
      </c>
      <c r="C23" s="5">
        <v>0.21732499999999999</v>
      </c>
      <c r="D23" s="5">
        <v>0.23718400000000001</v>
      </c>
      <c r="E23" s="5">
        <v>0.25069599999999997</v>
      </c>
      <c r="F23" s="5">
        <v>0.21150374999999999</v>
      </c>
    </row>
    <row r="24" spans="1:6" x14ac:dyDescent="0.25">
      <c r="A24" s="4">
        <v>64</v>
      </c>
      <c r="B24" s="5">
        <v>0.230099</v>
      </c>
      <c r="C24" s="5">
        <v>0.54118900000000003</v>
      </c>
      <c r="D24" s="5">
        <v>0.681334</v>
      </c>
      <c r="E24" s="5">
        <v>0.78995199999999999</v>
      </c>
      <c r="F24" s="5">
        <v>0.56064349999999996</v>
      </c>
    </row>
    <row r="25" spans="1:6" x14ac:dyDescent="0.25">
      <c r="A25" s="4">
        <v>128</v>
      </c>
      <c r="B25" s="5">
        <v>0.230268</v>
      </c>
      <c r="C25" s="5">
        <v>0.54210800000000003</v>
      </c>
      <c r="D25" s="5">
        <v>0.68281400000000003</v>
      </c>
      <c r="E25" s="5">
        <v>0.79192600000000002</v>
      </c>
      <c r="F25" s="5">
        <v>0.56177900000000003</v>
      </c>
    </row>
    <row r="26" spans="1:6" x14ac:dyDescent="0.25">
      <c r="A26" s="3" t="s">
        <v>189</v>
      </c>
      <c r="B26" s="5">
        <v>1.7313499999999999E-2</v>
      </c>
      <c r="C26" s="5">
        <v>2.4570999999999996E-2</v>
      </c>
      <c r="D26" s="5">
        <v>4.0121000000000004E-2</v>
      </c>
      <c r="E26" s="5">
        <v>8.6091249999999994E-2</v>
      </c>
      <c r="F26" s="5">
        <v>4.2024187499999997E-2</v>
      </c>
    </row>
    <row r="27" spans="1:6" x14ac:dyDescent="0.25">
      <c r="A27" s="4">
        <v>16</v>
      </c>
      <c r="B27" s="5">
        <v>1.7738E-2</v>
      </c>
      <c r="C27" s="5">
        <v>2.4719000000000001E-2</v>
      </c>
      <c r="D27" s="5">
        <v>3.9240999999999998E-2</v>
      </c>
      <c r="E27" s="5">
        <v>7.5246999999999994E-2</v>
      </c>
      <c r="F27" s="5">
        <v>3.923625E-2</v>
      </c>
    </row>
    <row r="28" spans="1:6" x14ac:dyDescent="0.25">
      <c r="A28" s="4">
        <v>32</v>
      </c>
      <c r="B28" s="5">
        <v>1.6906999999999998E-2</v>
      </c>
      <c r="C28" s="5">
        <v>2.3956999999999999E-2</v>
      </c>
      <c r="D28" s="5">
        <v>3.8890000000000001E-2</v>
      </c>
      <c r="E28" s="5">
        <v>8.2375000000000004E-2</v>
      </c>
      <c r="F28" s="5">
        <v>4.0532249999999999E-2</v>
      </c>
    </row>
    <row r="29" spans="1:6" x14ac:dyDescent="0.25">
      <c r="A29" s="4">
        <v>64</v>
      </c>
      <c r="B29" s="5">
        <v>1.7308E-2</v>
      </c>
      <c r="C29" s="5">
        <v>2.4802999999999999E-2</v>
      </c>
      <c r="D29" s="5">
        <v>4.1162999999999998E-2</v>
      </c>
      <c r="E29" s="5">
        <v>9.3235999999999999E-2</v>
      </c>
      <c r="F29" s="5">
        <v>4.41275E-2</v>
      </c>
    </row>
    <row r="30" spans="1:6" x14ac:dyDescent="0.25">
      <c r="A30" s="4">
        <v>128</v>
      </c>
      <c r="B30" s="5">
        <v>1.7301E-2</v>
      </c>
      <c r="C30" s="5">
        <v>2.4805000000000001E-2</v>
      </c>
      <c r="D30" s="5">
        <v>4.1189999999999997E-2</v>
      </c>
      <c r="E30" s="5">
        <v>9.3507000000000007E-2</v>
      </c>
      <c r="F30" s="5">
        <v>4.4200750000000004E-2</v>
      </c>
    </row>
    <row r="31" spans="1:6" x14ac:dyDescent="0.25">
      <c r="A31" s="3" t="s">
        <v>198</v>
      </c>
      <c r="B31" s="5">
        <v>0.44181139999999991</v>
      </c>
      <c r="C31" s="5">
        <v>0.49796080000000009</v>
      </c>
      <c r="D31" s="5">
        <v>0.53929499999999986</v>
      </c>
      <c r="E31" s="5">
        <v>0.57853784999999991</v>
      </c>
      <c r="F31" s="5">
        <v>0.51440126249999996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B5C96-5A49-4E3F-99B2-3FD8222C8FB3}">
  <sheetPr codeName="Sheet10"/>
  <dimension ref="A1:B24"/>
  <sheetViews>
    <sheetView topLeftCell="B1" workbookViewId="0">
      <selection activeCell="L32" sqref="L32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192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1.6970413333333332</v>
      </c>
    </row>
    <row r="5" spans="1:2" x14ac:dyDescent="0.25">
      <c r="A5" s="4">
        <v>1</v>
      </c>
      <c r="B5" s="5">
        <v>1.727746</v>
      </c>
    </row>
    <row r="6" spans="1:2" x14ac:dyDescent="0.25">
      <c r="A6" s="4">
        <v>2</v>
      </c>
      <c r="B6" s="5">
        <v>1.688318</v>
      </c>
    </row>
    <row r="7" spans="1:2" x14ac:dyDescent="0.25">
      <c r="A7" s="4">
        <v>4</v>
      </c>
      <c r="B7" s="5">
        <v>1.67506</v>
      </c>
    </row>
    <row r="8" spans="1:2" x14ac:dyDescent="0.25">
      <c r="A8" s="3" t="s">
        <v>186</v>
      </c>
      <c r="B8" s="5">
        <v>4.4749763333333332</v>
      </c>
    </row>
    <row r="9" spans="1:2" x14ac:dyDescent="0.25">
      <c r="A9" s="4">
        <v>1</v>
      </c>
      <c r="B9" s="5">
        <v>4.5237769999999999</v>
      </c>
    </row>
    <row r="10" spans="1:2" x14ac:dyDescent="0.25">
      <c r="A10" s="4">
        <v>2</v>
      </c>
      <c r="B10" s="5">
        <v>4.4505759999999999</v>
      </c>
    </row>
    <row r="11" spans="1:2" x14ac:dyDescent="0.25">
      <c r="A11" s="4">
        <v>4</v>
      </c>
      <c r="B11" s="5">
        <v>4.4505759999999999</v>
      </c>
    </row>
    <row r="12" spans="1:2" x14ac:dyDescent="0.25">
      <c r="A12" s="3" t="s">
        <v>187</v>
      </c>
      <c r="B12" s="5">
        <v>7.0416029999999994</v>
      </c>
    </row>
    <row r="13" spans="1:2" x14ac:dyDescent="0.25">
      <c r="A13" s="4">
        <v>1</v>
      </c>
      <c r="B13" s="5">
        <v>7.0422409999999998</v>
      </c>
    </row>
    <row r="14" spans="1:2" x14ac:dyDescent="0.25">
      <c r="A14" s="4">
        <v>2</v>
      </c>
      <c r="B14" s="5">
        <v>7.0412840000000001</v>
      </c>
    </row>
    <row r="15" spans="1:2" x14ac:dyDescent="0.25">
      <c r="A15" s="4">
        <v>4</v>
      </c>
      <c r="B15" s="5">
        <v>7.0412840000000001</v>
      </c>
    </row>
    <row r="16" spans="1:2" x14ac:dyDescent="0.25">
      <c r="A16" s="3" t="s">
        <v>188</v>
      </c>
      <c r="B16" s="5">
        <v>1.0993156666666668</v>
      </c>
    </row>
    <row r="17" spans="1:2" x14ac:dyDescent="0.25">
      <c r="A17" s="4">
        <v>1</v>
      </c>
      <c r="B17" s="5">
        <v>1.1022460000000001</v>
      </c>
    </row>
    <row r="18" spans="1:2" x14ac:dyDescent="0.25">
      <c r="A18" s="4">
        <v>2</v>
      </c>
      <c r="B18" s="5">
        <v>1.098104</v>
      </c>
    </row>
    <row r="19" spans="1:2" x14ac:dyDescent="0.25">
      <c r="A19" s="4">
        <v>4</v>
      </c>
      <c r="B19" s="5">
        <v>1.0975969999999999</v>
      </c>
    </row>
    <row r="20" spans="1:2" x14ac:dyDescent="0.25">
      <c r="A20" s="3" t="s">
        <v>189</v>
      </c>
      <c r="B20" s="5">
        <v>1.2018256666666667</v>
      </c>
    </row>
    <row r="21" spans="1:2" x14ac:dyDescent="0.25">
      <c r="A21" s="4">
        <v>1</v>
      </c>
      <c r="B21" s="5">
        <v>1.2323850000000001</v>
      </c>
    </row>
    <row r="22" spans="1:2" x14ac:dyDescent="0.25">
      <c r="A22" s="4">
        <v>2</v>
      </c>
      <c r="B22" s="5">
        <v>1.1879999999999999</v>
      </c>
    </row>
    <row r="23" spans="1:2" x14ac:dyDescent="0.25">
      <c r="A23" s="4">
        <v>4</v>
      </c>
      <c r="B23" s="5">
        <v>1.185092</v>
      </c>
    </row>
    <row r="24" spans="1:2" x14ac:dyDescent="0.25">
      <c r="A24" s="3" t="s">
        <v>198</v>
      </c>
      <c r="B24" s="5">
        <v>3.1029523999999999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46B14-B54A-4069-979C-6134437D3B3E}">
  <sheetPr codeName="Sheet11"/>
  <dimension ref="A1:B24"/>
  <sheetViews>
    <sheetView topLeftCell="E1" workbookViewId="0">
      <selection activeCell="R32" sqref="R32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192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1.8579666666666664E-2</v>
      </c>
    </row>
    <row r="5" spans="1:2" x14ac:dyDescent="0.25">
      <c r="A5" s="4">
        <v>1</v>
      </c>
      <c r="B5" s="5">
        <v>2.1398E-2</v>
      </c>
    </row>
    <row r="6" spans="1:2" x14ac:dyDescent="0.25">
      <c r="A6" s="4">
        <v>2</v>
      </c>
      <c r="B6" s="5">
        <v>1.7826000000000002E-2</v>
      </c>
    </row>
    <row r="7" spans="1:2" x14ac:dyDescent="0.25">
      <c r="A7" s="4">
        <v>4</v>
      </c>
      <c r="B7" s="5">
        <v>1.6514999999999998E-2</v>
      </c>
    </row>
    <row r="8" spans="1:2" x14ac:dyDescent="0.25">
      <c r="A8" s="3" t="s">
        <v>186</v>
      </c>
      <c r="B8" s="5">
        <v>4.7723666666666664E-2</v>
      </c>
    </row>
    <row r="9" spans="1:2" x14ac:dyDescent="0.25">
      <c r="A9" s="4">
        <v>1</v>
      </c>
      <c r="B9" s="5">
        <v>5.4128999999999997E-2</v>
      </c>
    </row>
    <row r="10" spans="1:2" x14ac:dyDescent="0.25">
      <c r="A10" s="4">
        <v>2</v>
      </c>
      <c r="B10" s="5">
        <v>4.4734999999999997E-2</v>
      </c>
    </row>
    <row r="11" spans="1:2" x14ac:dyDescent="0.25">
      <c r="A11" s="4">
        <v>4</v>
      </c>
      <c r="B11" s="5">
        <v>4.4306999999999999E-2</v>
      </c>
    </row>
    <row r="12" spans="1:2" x14ac:dyDescent="0.25">
      <c r="A12" s="3" t="s">
        <v>187</v>
      </c>
      <c r="B12" s="5">
        <v>0.12185733333333333</v>
      </c>
    </row>
    <row r="13" spans="1:2" x14ac:dyDescent="0.25">
      <c r="A13" s="4">
        <v>1</v>
      </c>
      <c r="B13" s="5">
        <v>0.12191200000000001</v>
      </c>
    </row>
    <row r="14" spans="1:2" x14ac:dyDescent="0.25">
      <c r="A14" s="4">
        <v>2</v>
      </c>
      <c r="B14" s="5">
        <v>0.12183099999999999</v>
      </c>
    </row>
    <row r="15" spans="1:2" x14ac:dyDescent="0.25">
      <c r="A15" s="4">
        <v>4</v>
      </c>
      <c r="B15" s="5">
        <v>0.12182900000000001</v>
      </c>
    </row>
    <row r="16" spans="1:2" x14ac:dyDescent="0.25">
      <c r="A16" s="3" t="s">
        <v>188</v>
      </c>
      <c r="B16" s="5">
        <v>2.6333333333333334E-3</v>
      </c>
    </row>
    <row r="17" spans="1:2" x14ac:dyDescent="0.25">
      <c r="A17" s="4">
        <v>1</v>
      </c>
      <c r="B17" s="5">
        <v>3.2320000000000001E-3</v>
      </c>
    </row>
    <row r="18" spans="1:2" x14ac:dyDescent="0.25">
      <c r="A18" s="4">
        <v>2</v>
      </c>
      <c r="B18" s="5">
        <v>2.3900000000000002E-3</v>
      </c>
    </row>
    <row r="19" spans="1:2" x14ac:dyDescent="0.25">
      <c r="A19" s="4">
        <v>4</v>
      </c>
      <c r="B19" s="5">
        <v>2.2780000000000001E-3</v>
      </c>
    </row>
    <row r="20" spans="1:2" x14ac:dyDescent="0.25">
      <c r="A20" s="3" t="s">
        <v>189</v>
      </c>
      <c r="B20" s="5">
        <v>3.391333333333333E-3</v>
      </c>
    </row>
    <row r="21" spans="1:2" x14ac:dyDescent="0.25">
      <c r="A21" s="4">
        <v>1</v>
      </c>
      <c r="B21" s="5">
        <v>5.777E-3</v>
      </c>
    </row>
    <row r="22" spans="1:2" x14ac:dyDescent="0.25">
      <c r="A22" s="4">
        <v>2</v>
      </c>
      <c r="B22" s="5">
        <v>2.3679999999999999E-3</v>
      </c>
    </row>
    <row r="23" spans="1:2" x14ac:dyDescent="0.25">
      <c r="A23" s="4">
        <v>4</v>
      </c>
      <c r="B23" s="5">
        <v>2.029E-3</v>
      </c>
    </row>
    <row r="24" spans="1:2" x14ac:dyDescent="0.25">
      <c r="A24" s="3" t="s">
        <v>198</v>
      </c>
      <c r="B24" s="5">
        <v>3.8837066666666663E-2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8AE58-2A72-4711-B17F-6868B38C0555}">
  <sheetPr codeName="Sheet12"/>
  <dimension ref="A2:B25"/>
  <sheetViews>
    <sheetView topLeftCell="C1" workbookViewId="0">
      <selection activeCell="K34" sqref="K34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2" spans="1:2" x14ac:dyDescent="0.25">
      <c r="A2" s="2" t="s">
        <v>176</v>
      </c>
      <c r="B2" t="s">
        <v>192</v>
      </c>
    </row>
    <row r="4" spans="1:2" x14ac:dyDescent="0.25">
      <c r="A4" s="2" t="s">
        <v>197</v>
      </c>
      <c r="B4" t="s">
        <v>201</v>
      </c>
    </row>
    <row r="5" spans="1:2" x14ac:dyDescent="0.25">
      <c r="A5" s="3" t="s">
        <v>185</v>
      </c>
      <c r="B5" s="5">
        <v>7.6000000000000004E-5</v>
      </c>
    </row>
    <row r="6" spans="1:2" x14ac:dyDescent="0.25">
      <c r="A6" s="4">
        <v>1</v>
      </c>
      <c r="B6" s="5">
        <v>7.6000000000000004E-5</v>
      </c>
    </row>
    <row r="7" spans="1:2" x14ac:dyDescent="0.25">
      <c r="A7" s="4">
        <v>2</v>
      </c>
      <c r="B7" s="5">
        <v>7.6000000000000004E-5</v>
      </c>
    </row>
    <row r="8" spans="1:2" x14ac:dyDescent="0.25">
      <c r="A8" s="4">
        <v>4</v>
      </c>
      <c r="B8" s="5">
        <v>7.6000000000000004E-5</v>
      </c>
    </row>
    <row r="9" spans="1:2" x14ac:dyDescent="0.25">
      <c r="A9" s="3" t="s">
        <v>186</v>
      </c>
      <c r="B9" s="5">
        <v>7.8181999999999988E-2</v>
      </c>
    </row>
    <row r="10" spans="1:2" x14ac:dyDescent="0.25">
      <c r="A10" s="4">
        <v>1</v>
      </c>
      <c r="B10" s="5">
        <v>7.7973000000000001E-2</v>
      </c>
    </row>
    <row r="11" spans="1:2" x14ac:dyDescent="0.25">
      <c r="A11" s="4">
        <v>2</v>
      </c>
      <c r="B11" s="5">
        <v>7.8260999999999997E-2</v>
      </c>
    </row>
    <row r="12" spans="1:2" x14ac:dyDescent="0.25">
      <c r="A12" s="4">
        <v>4</v>
      </c>
      <c r="B12" s="5">
        <v>7.8312000000000007E-2</v>
      </c>
    </row>
    <row r="13" spans="1:2" x14ac:dyDescent="0.25">
      <c r="A13" s="3" t="s">
        <v>187</v>
      </c>
      <c r="B13" s="5">
        <v>2.0000000000000002E-5</v>
      </c>
    </row>
    <row r="14" spans="1:2" x14ac:dyDescent="0.25">
      <c r="A14" s="4">
        <v>1</v>
      </c>
      <c r="B14" s="5">
        <v>2.0000000000000002E-5</v>
      </c>
    </row>
    <row r="15" spans="1:2" x14ac:dyDescent="0.25">
      <c r="A15" s="4">
        <v>2</v>
      </c>
      <c r="B15" s="5">
        <v>2.0000000000000002E-5</v>
      </c>
    </row>
    <row r="16" spans="1:2" x14ac:dyDescent="0.25">
      <c r="A16" s="4">
        <v>4</v>
      </c>
      <c r="B16" s="5">
        <v>2.0000000000000002E-5</v>
      </c>
    </row>
    <row r="17" spans="1:2" x14ac:dyDescent="0.25">
      <c r="A17" s="3" t="s">
        <v>188</v>
      </c>
      <c r="B17" s="5">
        <v>3.4E-5</v>
      </c>
    </row>
    <row r="18" spans="1:2" x14ac:dyDescent="0.25">
      <c r="A18" s="4">
        <v>1</v>
      </c>
      <c r="B18" s="5">
        <v>3.4E-5</v>
      </c>
    </row>
    <row r="19" spans="1:2" x14ac:dyDescent="0.25">
      <c r="A19" s="4">
        <v>2</v>
      </c>
      <c r="B19" s="5">
        <v>3.4E-5</v>
      </c>
    </row>
    <row r="20" spans="1:2" x14ac:dyDescent="0.25">
      <c r="A20" s="4">
        <v>4</v>
      </c>
      <c r="B20" s="5">
        <v>3.4E-5</v>
      </c>
    </row>
    <row r="21" spans="1:2" x14ac:dyDescent="0.25">
      <c r="A21" s="3" t="s">
        <v>189</v>
      </c>
      <c r="B21" s="5">
        <v>1.3566666666666667E-4</v>
      </c>
    </row>
    <row r="22" spans="1:2" x14ac:dyDescent="0.25">
      <c r="A22" s="4">
        <v>1</v>
      </c>
      <c r="B22" s="5">
        <v>1.36E-4</v>
      </c>
    </row>
    <row r="23" spans="1:2" x14ac:dyDescent="0.25">
      <c r="A23" s="4">
        <v>2</v>
      </c>
      <c r="B23" s="5">
        <v>1.36E-4</v>
      </c>
    </row>
    <row r="24" spans="1:2" x14ac:dyDescent="0.25">
      <c r="A24" s="4">
        <v>4</v>
      </c>
      <c r="B24" s="5">
        <v>1.35E-4</v>
      </c>
    </row>
    <row r="25" spans="1:2" x14ac:dyDescent="0.25">
      <c r="A25" s="3" t="s">
        <v>198</v>
      </c>
      <c r="B25" s="5">
        <v>1.5689533333333332E-2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4CBE-96F2-4822-B849-D86848EEE505}">
  <sheetPr codeName="Sheet13"/>
  <dimension ref="A1:B24"/>
  <sheetViews>
    <sheetView topLeftCell="E1" workbookViewId="0">
      <selection activeCell="I25" sqref="I25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192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0.31768633333333335</v>
      </c>
    </row>
    <row r="5" spans="1:2" x14ac:dyDescent="0.25">
      <c r="A5" s="4">
        <v>1</v>
      </c>
      <c r="B5" s="5">
        <v>0.27181100000000002</v>
      </c>
    </row>
    <row r="6" spans="1:2" x14ac:dyDescent="0.25">
      <c r="A6" s="4">
        <v>2</v>
      </c>
      <c r="B6" s="5">
        <v>0.32708500000000001</v>
      </c>
    </row>
    <row r="7" spans="1:2" x14ac:dyDescent="0.25">
      <c r="A7" s="4">
        <v>4</v>
      </c>
      <c r="B7" s="5">
        <v>0.35416300000000001</v>
      </c>
    </row>
    <row r="8" spans="1:2" x14ac:dyDescent="0.25">
      <c r="A8" s="3" t="s">
        <v>186</v>
      </c>
      <c r="B8" s="5">
        <v>0.93207233333333328</v>
      </c>
    </row>
    <row r="9" spans="1:2" x14ac:dyDescent="0.25">
      <c r="A9" s="4">
        <v>1</v>
      </c>
      <c r="B9" s="5">
        <v>0.89292199999999999</v>
      </c>
    </row>
    <row r="10" spans="1:2" x14ac:dyDescent="0.25">
      <c r="A10" s="4">
        <v>2</v>
      </c>
      <c r="B10" s="5">
        <v>0.94980699999999996</v>
      </c>
    </row>
    <row r="11" spans="1:2" x14ac:dyDescent="0.25">
      <c r="A11" s="4">
        <v>4</v>
      </c>
      <c r="B11" s="5">
        <v>0.953488</v>
      </c>
    </row>
    <row r="12" spans="1:2" x14ac:dyDescent="0.25">
      <c r="A12" s="3" t="s">
        <v>187</v>
      </c>
      <c r="B12" s="5">
        <v>0.99951899999999994</v>
      </c>
    </row>
    <row r="13" spans="1:2" x14ac:dyDescent="0.25">
      <c r="A13" s="4">
        <v>1</v>
      </c>
      <c r="B13" s="5">
        <v>0.99863000000000002</v>
      </c>
    </row>
    <row r="14" spans="1:2" x14ac:dyDescent="0.25">
      <c r="A14" s="4">
        <v>2</v>
      </c>
      <c r="B14" s="5">
        <v>0.99995400000000001</v>
      </c>
    </row>
    <row r="15" spans="1:2" x14ac:dyDescent="0.25">
      <c r="A15" s="4">
        <v>4</v>
      </c>
      <c r="B15" s="5">
        <v>0.999973</v>
      </c>
    </row>
    <row r="16" spans="1:2" x14ac:dyDescent="0.25">
      <c r="A16" s="3" t="s">
        <v>188</v>
      </c>
      <c r="B16" s="5">
        <v>0.68566766666666668</v>
      </c>
    </row>
    <row r="17" spans="1:2" x14ac:dyDescent="0.25">
      <c r="A17" s="4">
        <v>1</v>
      </c>
      <c r="B17" s="5">
        <v>0.54118900000000003</v>
      </c>
    </row>
    <row r="18" spans="1:2" x14ac:dyDescent="0.25">
      <c r="A18" s="4">
        <v>2</v>
      </c>
      <c r="B18" s="5">
        <v>0.73771900000000001</v>
      </c>
    </row>
    <row r="19" spans="1:2" x14ac:dyDescent="0.25">
      <c r="A19" s="4">
        <v>4</v>
      </c>
      <c r="B19" s="5">
        <v>0.77809499999999998</v>
      </c>
    </row>
    <row r="20" spans="1:2" x14ac:dyDescent="0.25">
      <c r="A20" s="3" t="s">
        <v>189</v>
      </c>
      <c r="B20" s="5">
        <v>5.1039333333333325E-2</v>
      </c>
    </row>
    <row r="21" spans="1:2" x14ac:dyDescent="0.25">
      <c r="A21" s="4">
        <v>1</v>
      </c>
      <c r="B21" s="5">
        <v>2.4802999999999999E-2</v>
      </c>
    </row>
    <row r="22" spans="1:2" x14ac:dyDescent="0.25">
      <c r="A22" s="4">
        <v>2</v>
      </c>
      <c r="B22" s="5">
        <v>5.9326999999999998E-2</v>
      </c>
    </row>
    <row r="23" spans="1:2" x14ac:dyDescent="0.25">
      <c r="A23" s="4">
        <v>4</v>
      </c>
      <c r="B23" s="5">
        <v>6.8987999999999994E-2</v>
      </c>
    </row>
    <row r="24" spans="1:2" x14ac:dyDescent="0.25">
      <c r="A24" s="3" t="s">
        <v>198</v>
      </c>
      <c r="B24" s="5">
        <v>0.59719693333333324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CE31F-2BF2-4D15-B929-0B96DF9A2E95}">
  <sheetPr codeName="Sheet14"/>
  <dimension ref="A1:B24"/>
  <sheetViews>
    <sheetView topLeftCell="E1" workbookViewId="0">
      <selection activeCell="K26" sqref="K26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193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1.7277443333333331</v>
      </c>
    </row>
    <row r="5" spans="1:2" x14ac:dyDescent="0.25">
      <c r="A5" s="4">
        <v>1</v>
      </c>
      <c r="B5" s="5">
        <v>1.727746</v>
      </c>
    </row>
    <row r="6" spans="1:2" x14ac:dyDescent="0.25">
      <c r="A6" s="4">
        <v>2</v>
      </c>
      <c r="B6" s="5">
        <v>1.7276959999999999</v>
      </c>
    </row>
    <row r="7" spans="1:2" x14ac:dyDescent="0.25">
      <c r="A7" s="4">
        <v>4</v>
      </c>
      <c r="B7" s="5">
        <v>1.7277910000000001</v>
      </c>
    </row>
    <row r="8" spans="1:2" x14ac:dyDescent="0.25">
      <c r="A8" s="3" t="s">
        <v>186</v>
      </c>
      <c r="B8" s="5">
        <v>4.5188410000000001</v>
      </c>
    </row>
    <row r="9" spans="1:2" x14ac:dyDescent="0.25">
      <c r="A9" s="4">
        <v>1</v>
      </c>
      <c r="B9" s="5">
        <v>4.5237769999999999</v>
      </c>
    </row>
    <row r="10" spans="1:2" x14ac:dyDescent="0.25">
      <c r="A10" s="4">
        <v>2</v>
      </c>
      <c r="B10" s="5">
        <v>4.5163729999999997</v>
      </c>
    </row>
    <row r="11" spans="1:2" x14ac:dyDescent="0.25">
      <c r="A11" s="4">
        <v>4</v>
      </c>
      <c r="B11" s="5">
        <v>4.5163729999999997</v>
      </c>
    </row>
    <row r="12" spans="1:2" x14ac:dyDescent="0.25">
      <c r="A12" s="3" t="s">
        <v>187</v>
      </c>
      <c r="B12" s="5">
        <v>7.0422383333333327</v>
      </c>
    </row>
    <row r="13" spans="1:2" x14ac:dyDescent="0.25">
      <c r="A13" s="4">
        <v>1</v>
      </c>
      <c r="B13" s="5">
        <v>7.0422409999999998</v>
      </c>
    </row>
    <row r="14" spans="1:2" x14ac:dyDescent="0.25">
      <c r="A14" s="4">
        <v>2</v>
      </c>
      <c r="B14" s="5">
        <v>7.0422180000000001</v>
      </c>
    </row>
    <row r="15" spans="1:2" x14ac:dyDescent="0.25">
      <c r="A15" s="4">
        <v>4</v>
      </c>
      <c r="B15" s="5">
        <v>7.0422560000000001</v>
      </c>
    </row>
    <row r="16" spans="1:2" x14ac:dyDescent="0.25">
      <c r="A16" s="3" t="s">
        <v>188</v>
      </c>
      <c r="B16" s="5">
        <v>1.1022700000000001</v>
      </c>
    </row>
    <row r="17" spans="1:2" x14ac:dyDescent="0.25">
      <c r="A17" s="4">
        <v>1</v>
      </c>
      <c r="B17" s="5">
        <v>1.1022460000000001</v>
      </c>
    </row>
    <row r="18" spans="1:2" x14ac:dyDescent="0.25">
      <c r="A18" s="4">
        <v>2</v>
      </c>
      <c r="B18" s="5">
        <v>1.1023210000000001</v>
      </c>
    </row>
    <row r="19" spans="1:2" x14ac:dyDescent="0.25">
      <c r="A19" s="4">
        <v>4</v>
      </c>
      <c r="B19" s="5">
        <v>1.1022430000000001</v>
      </c>
    </row>
    <row r="20" spans="1:2" x14ac:dyDescent="0.25">
      <c r="A20" s="3" t="s">
        <v>189</v>
      </c>
      <c r="B20" s="5">
        <v>1.2323116666666667</v>
      </c>
    </row>
    <row r="21" spans="1:2" x14ac:dyDescent="0.25">
      <c r="A21" s="4">
        <v>1</v>
      </c>
      <c r="B21" s="5">
        <v>1.2323850000000001</v>
      </c>
    </row>
    <row r="22" spans="1:2" x14ac:dyDescent="0.25">
      <c r="A22" s="4">
        <v>2</v>
      </c>
      <c r="B22" s="5">
        <v>1.232289</v>
      </c>
    </row>
    <row r="23" spans="1:2" x14ac:dyDescent="0.25">
      <c r="A23" s="4">
        <v>4</v>
      </c>
      <c r="B23" s="5">
        <v>1.2322610000000001</v>
      </c>
    </row>
    <row r="24" spans="1:2" x14ac:dyDescent="0.25">
      <c r="A24" s="3" t="s">
        <v>198</v>
      </c>
      <c r="B24" s="5">
        <v>3.1246810666666676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738E4-8104-4DEA-8F45-04F0177296B7}">
  <sheetPr codeName="Sheet15"/>
  <dimension ref="A1:B24"/>
  <sheetViews>
    <sheetView topLeftCell="E1" workbookViewId="0">
      <selection activeCell="U28" sqref="U28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193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2.1396999999999999E-2</v>
      </c>
    </row>
    <row r="5" spans="1:2" x14ac:dyDescent="0.25">
      <c r="A5" s="4">
        <v>1</v>
      </c>
      <c r="B5" s="5">
        <v>2.1398E-2</v>
      </c>
    </row>
    <row r="6" spans="1:2" x14ac:dyDescent="0.25">
      <c r="A6" s="4">
        <v>2</v>
      </c>
      <c r="B6" s="5">
        <v>2.1395999999999998E-2</v>
      </c>
    </row>
    <row r="7" spans="1:2" x14ac:dyDescent="0.25">
      <c r="A7" s="4">
        <v>4</v>
      </c>
      <c r="B7" s="5">
        <v>2.1396999999999999E-2</v>
      </c>
    </row>
    <row r="8" spans="1:2" x14ac:dyDescent="0.25">
      <c r="A8" s="3" t="s">
        <v>186</v>
      </c>
      <c r="B8" s="5">
        <v>5.4129000000000004E-2</v>
      </c>
    </row>
    <row r="9" spans="1:2" x14ac:dyDescent="0.25">
      <c r="A9" s="4">
        <v>1</v>
      </c>
      <c r="B9" s="5">
        <v>5.4128999999999997E-2</v>
      </c>
    </row>
    <row r="10" spans="1:2" x14ac:dyDescent="0.25">
      <c r="A10" s="4">
        <v>2</v>
      </c>
      <c r="B10" s="5">
        <v>5.4128999999999997E-2</v>
      </c>
    </row>
    <row r="11" spans="1:2" x14ac:dyDescent="0.25">
      <c r="A11" s="4">
        <v>4</v>
      </c>
      <c r="B11" s="5">
        <v>5.4128999999999997E-2</v>
      </c>
    </row>
    <row r="12" spans="1:2" x14ac:dyDescent="0.25">
      <c r="A12" s="3" t="s">
        <v>187</v>
      </c>
      <c r="B12" s="5">
        <v>0.12191266666666667</v>
      </c>
    </row>
    <row r="13" spans="1:2" x14ac:dyDescent="0.25">
      <c r="A13" s="4">
        <v>1</v>
      </c>
      <c r="B13" s="5">
        <v>0.12191200000000001</v>
      </c>
    </row>
    <row r="14" spans="1:2" x14ac:dyDescent="0.25">
      <c r="A14" s="4">
        <v>2</v>
      </c>
      <c r="B14" s="5">
        <v>0.12191299999999999</v>
      </c>
    </row>
    <row r="15" spans="1:2" x14ac:dyDescent="0.25">
      <c r="A15" s="4">
        <v>4</v>
      </c>
      <c r="B15" s="5">
        <v>0.12191299999999999</v>
      </c>
    </row>
    <row r="16" spans="1:2" x14ac:dyDescent="0.25">
      <c r="A16" s="3" t="s">
        <v>188</v>
      </c>
      <c r="B16" s="5">
        <v>3.2320000000000001E-3</v>
      </c>
    </row>
    <row r="17" spans="1:2" x14ac:dyDescent="0.25">
      <c r="A17" s="4">
        <v>1</v>
      </c>
      <c r="B17" s="5">
        <v>3.2320000000000001E-3</v>
      </c>
    </row>
    <row r="18" spans="1:2" x14ac:dyDescent="0.25">
      <c r="A18" s="4">
        <v>2</v>
      </c>
      <c r="B18" s="5">
        <v>3.2320000000000001E-3</v>
      </c>
    </row>
    <row r="19" spans="1:2" x14ac:dyDescent="0.25">
      <c r="A19" s="4">
        <v>4</v>
      </c>
      <c r="B19" s="5">
        <v>3.2320000000000001E-3</v>
      </c>
    </row>
    <row r="20" spans="1:2" x14ac:dyDescent="0.25">
      <c r="A20" s="3" t="s">
        <v>189</v>
      </c>
      <c r="B20" s="5">
        <v>5.777E-3</v>
      </c>
    </row>
    <row r="21" spans="1:2" x14ac:dyDescent="0.25">
      <c r="A21" s="4">
        <v>1</v>
      </c>
      <c r="B21" s="5">
        <v>5.777E-3</v>
      </c>
    </row>
    <row r="22" spans="1:2" x14ac:dyDescent="0.25">
      <c r="A22" s="4">
        <v>2</v>
      </c>
      <c r="B22" s="5">
        <v>5.777E-3</v>
      </c>
    </row>
    <row r="23" spans="1:2" x14ac:dyDescent="0.25">
      <c r="A23" s="4">
        <v>4</v>
      </c>
      <c r="B23" s="5">
        <v>5.777E-3</v>
      </c>
    </row>
    <row r="24" spans="1:2" x14ac:dyDescent="0.25">
      <c r="A24" s="3" t="s">
        <v>198</v>
      </c>
      <c r="B24" s="5">
        <v>4.1289533333333343E-2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915A-2578-4059-9D35-0F746F68DA9A}">
  <sheetPr codeName="Sheet16"/>
  <dimension ref="A2:B25"/>
  <sheetViews>
    <sheetView workbookViewId="0">
      <selection activeCell="S31" sqref="S31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2" spans="1:2" x14ac:dyDescent="0.25">
      <c r="A2" s="2" t="s">
        <v>176</v>
      </c>
      <c r="B2" t="s">
        <v>193</v>
      </c>
    </row>
    <row r="4" spans="1:2" x14ac:dyDescent="0.25">
      <c r="A4" s="2" t="s">
        <v>197</v>
      </c>
      <c r="B4" t="s">
        <v>201</v>
      </c>
    </row>
    <row r="5" spans="1:2" x14ac:dyDescent="0.25">
      <c r="A5" s="3" t="s">
        <v>185</v>
      </c>
      <c r="B5" s="5">
        <v>7.1000000000000005E-5</v>
      </c>
    </row>
    <row r="6" spans="1:2" x14ac:dyDescent="0.25">
      <c r="A6" s="4">
        <v>1</v>
      </c>
      <c r="B6" s="5">
        <v>7.6000000000000004E-5</v>
      </c>
    </row>
    <row r="7" spans="1:2" x14ac:dyDescent="0.25">
      <c r="A7" s="4">
        <v>2</v>
      </c>
      <c r="B7" s="5">
        <v>6.9999999999999994E-5</v>
      </c>
    </row>
    <row r="8" spans="1:2" x14ac:dyDescent="0.25">
      <c r="A8" s="4">
        <v>4</v>
      </c>
      <c r="B8" s="5">
        <v>6.7000000000000002E-5</v>
      </c>
    </row>
    <row r="9" spans="1:2" x14ac:dyDescent="0.25">
      <c r="A9" s="3" t="s">
        <v>186</v>
      </c>
      <c r="B9" s="5">
        <v>7.730066666666667E-2</v>
      </c>
    </row>
    <row r="10" spans="1:2" x14ac:dyDescent="0.25">
      <c r="A10" s="4">
        <v>1</v>
      </c>
      <c r="B10" s="5">
        <v>7.7973000000000001E-2</v>
      </c>
    </row>
    <row r="11" spans="1:2" x14ac:dyDescent="0.25">
      <c r="A11" s="4">
        <v>2</v>
      </c>
      <c r="B11" s="5">
        <v>7.7306E-2</v>
      </c>
    </row>
    <row r="12" spans="1:2" x14ac:dyDescent="0.25">
      <c r="A12" s="4">
        <v>4</v>
      </c>
      <c r="B12" s="5">
        <v>7.6622999999999997E-2</v>
      </c>
    </row>
    <row r="13" spans="1:2" x14ac:dyDescent="0.25">
      <c r="A13" s="3" t="s">
        <v>187</v>
      </c>
      <c r="B13" s="5">
        <v>1.9333333333333333E-5</v>
      </c>
    </row>
    <row r="14" spans="1:2" x14ac:dyDescent="0.25">
      <c r="A14" s="4">
        <v>1</v>
      </c>
      <c r="B14" s="5">
        <v>2.0000000000000002E-5</v>
      </c>
    </row>
    <row r="15" spans="1:2" x14ac:dyDescent="0.25">
      <c r="A15" s="4">
        <v>2</v>
      </c>
      <c r="B15" s="5">
        <v>1.9000000000000001E-5</v>
      </c>
    </row>
    <row r="16" spans="1:2" x14ac:dyDescent="0.25">
      <c r="A16" s="4">
        <v>4</v>
      </c>
      <c r="B16" s="5">
        <v>1.9000000000000001E-5</v>
      </c>
    </row>
    <row r="17" spans="1:2" x14ac:dyDescent="0.25">
      <c r="A17" s="3" t="s">
        <v>188</v>
      </c>
      <c r="B17" s="5">
        <v>2.4000000000000001E-5</v>
      </c>
    </row>
    <row r="18" spans="1:2" x14ac:dyDescent="0.25">
      <c r="A18" s="4">
        <v>1</v>
      </c>
      <c r="B18" s="5">
        <v>3.4E-5</v>
      </c>
    </row>
    <row r="19" spans="1:2" x14ac:dyDescent="0.25">
      <c r="A19" s="4">
        <v>2</v>
      </c>
      <c r="B19" s="5">
        <v>1.9000000000000001E-5</v>
      </c>
    </row>
    <row r="20" spans="1:2" x14ac:dyDescent="0.25">
      <c r="A20" s="4">
        <v>4</v>
      </c>
      <c r="B20" s="5">
        <v>1.9000000000000001E-5</v>
      </c>
    </row>
    <row r="21" spans="1:2" x14ac:dyDescent="0.25">
      <c r="A21" s="3" t="s">
        <v>189</v>
      </c>
      <c r="B21" s="5">
        <v>1.0666666666666665E-4</v>
      </c>
    </row>
    <row r="22" spans="1:2" x14ac:dyDescent="0.25">
      <c r="A22" s="4">
        <v>1</v>
      </c>
      <c r="B22" s="5">
        <v>1.36E-4</v>
      </c>
    </row>
    <row r="23" spans="1:2" x14ac:dyDescent="0.25">
      <c r="A23" s="4">
        <v>2</v>
      </c>
      <c r="B23" s="5">
        <v>1.02E-4</v>
      </c>
    </row>
    <row r="24" spans="1:2" x14ac:dyDescent="0.25">
      <c r="A24" s="4">
        <v>4</v>
      </c>
      <c r="B24" s="5">
        <v>8.2000000000000001E-5</v>
      </c>
    </row>
    <row r="25" spans="1:2" x14ac:dyDescent="0.25">
      <c r="A25" s="3" t="s">
        <v>198</v>
      </c>
      <c r="B25" s="5">
        <v>1.5504333333333332E-2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52E12-F389-4728-9C36-DD6D4CC74814}">
  <sheetPr codeName="Sheet17"/>
  <dimension ref="A1:B24"/>
  <sheetViews>
    <sheetView workbookViewId="0">
      <selection activeCell="N35" sqref="N35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193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0.27181000000000005</v>
      </c>
    </row>
    <row r="5" spans="1:2" x14ac:dyDescent="0.25">
      <c r="A5" s="4">
        <v>1</v>
      </c>
      <c r="B5" s="5">
        <v>0.27181100000000002</v>
      </c>
    </row>
    <row r="6" spans="1:2" x14ac:dyDescent="0.25">
      <c r="A6" s="4">
        <v>2</v>
      </c>
      <c r="B6" s="5">
        <v>0.27180599999999999</v>
      </c>
    </row>
    <row r="7" spans="1:2" x14ac:dyDescent="0.25">
      <c r="A7" s="4">
        <v>4</v>
      </c>
      <c r="B7" s="5">
        <v>0.27181300000000003</v>
      </c>
    </row>
    <row r="8" spans="1:2" x14ac:dyDescent="0.25">
      <c r="A8" s="3" t="s">
        <v>186</v>
      </c>
      <c r="B8" s="5">
        <v>0.89782799999999996</v>
      </c>
    </row>
    <row r="9" spans="1:2" x14ac:dyDescent="0.25">
      <c r="A9" s="4">
        <v>1</v>
      </c>
      <c r="B9" s="5">
        <v>0.89292199999999999</v>
      </c>
    </row>
    <row r="10" spans="1:2" x14ac:dyDescent="0.25">
      <c r="A10" s="4">
        <v>2</v>
      </c>
      <c r="B10" s="5">
        <v>0.89781</v>
      </c>
    </row>
    <row r="11" spans="1:2" x14ac:dyDescent="0.25">
      <c r="A11" s="4">
        <v>4</v>
      </c>
      <c r="B11" s="5">
        <v>0.902752</v>
      </c>
    </row>
    <row r="12" spans="1:2" x14ac:dyDescent="0.25">
      <c r="A12" s="3" t="s">
        <v>187</v>
      </c>
      <c r="B12" s="5">
        <v>0.99863533333333343</v>
      </c>
    </row>
    <row r="13" spans="1:2" x14ac:dyDescent="0.25">
      <c r="A13" s="4">
        <v>1</v>
      </c>
      <c r="B13" s="5">
        <v>0.99863000000000002</v>
      </c>
    </row>
    <row r="14" spans="1:2" x14ac:dyDescent="0.25">
      <c r="A14" s="4">
        <v>2</v>
      </c>
      <c r="B14" s="5">
        <v>0.99863800000000003</v>
      </c>
    </row>
    <row r="15" spans="1:2" x14ac:dyDescent="0.25">
      <c r="A15" s="4">
        <v>4</v>
      </c>
      <c r="B15" s="5">
        <v>0.99863800000000003</v>
      </c>
    </row>
    <row r="16" spans="1:2" x14ac:dyDescent="0.25">
      <c r="A16" s="3" t="s">
        <v>188</v>
      </c>
      <c r="B16" s="5">
        <v>0.54285100000000008</v>
      </c>
    </row>
    <row r="17" spans="1:2" x14ac:dyDescent="0.25">
      <c r="A17" s="4">
        <v>1</v>
      </c>
      <c r="B17" s="5">
        <v>0.54118900000000003</v>
      </c>
    </row>
    <row r="18" spans="1:2" x14ac:dyDescent="0.25">
      <c r="A18" s="4">
        <v>2</v>
      </c>
      <c r="B18" s="5">
        <v>0.54366899999999996</v>
      </c>
    </row>
    <row r="19" spans="1:2" x14ac:dyDescent="0.25">
      <c r="A19" s="4">
        <v>4</v>
      </c>
      <c r="B19" s="5">
        <v>0.54369500000000004</v>
      </c>
    </row>
    <row r="20" spans="1:2" x14ac:dyDescent="0.25">
      <c r="A20" s="3" t="s">
        <v>189</v>
      </c>
      <c r="B20" s="5">
        <v>2.4756666666666663E-2</v>
      </c>
    </row>
    <row r="21" spans="1:2" x14ac:dyDescent="0.25">
      <c r="A21" s="4">
        <v>1</v>
      </c>
      <c r="B21" s="5">
        <v>2.4802999999999999E-2</v>
      </c>
    </row>
    <row r="22" spans="1:2" x14ac:dyDescent="0.25">
      <c r="A22" s="4">
        <v>2</v>
      </c>
      <c r="B22" s="5">
        <v>2.4715999999999998E-2</v>
      </c>
    </row>
    <row r="23" spans="1:2" x14ac:dyDescent="0.25">
      <c r="A23" s="4">
        <v>4</v>
      </c>
      <c r="B23" s="5">
        <v>2.4750999999999999E-2</v>
      </c>
    </row>
    <row r="24" spans="1:2" x14ac:dyDescent="0.25">
      <c r="A24" s="3" t="s">
        <v>198</v>
      </c>
      <c r="B24" s="5">
        <v>0.54717619999999989</v>
      </c>
    </row>
  </sheetData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5D947-5F7E-4E54-98DC-317E436826BE}">
  <sheetPr codeName="Sheet18"/>
  <dimension ref="A1:B24"/>
  <sheetViews>
    <sheetView topLeftCell="B1" workbookViewId="0">
      <selection activeCell="K33" sqref="K33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194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1.732979</v>
      </c>
    </row>
    <row r="5" spans="1:2" x14ac:dyDescent="0.25">
      <c r="A5" s="4">
        <v>1</v>
      </c>
      <c r="B5" s="5">
        <v>1.7450319999999999</v>
      </c>
    </row>
    <row r="6" spans="1:2" x14ac:dyDescent="0.25">
      <c r="A6" s="4">
        <v>2</v>
      </c>
      <c r="B6" s="5">
        <v>1.727746</v>
      </c>
    </row>
    <row r="7" spans="1:2" x14ac:dyDescent="0.25">
      <c r="A7" s="4">
        <v>4</v>
      </c>
      <c r="B7" s="5">
        <v>1.726159</v>
      </c>
    </row>
    <row r="8" spans="1:2" x14ac:dyDescent="0.25">
      <c r="A8" s="3" t="s">
        <v>186</v>
      </c>
      <c r="B8" s="5">
        <v>4.5237769999999999</v>
      </c>
    </row>
    <row r="9" spans="1:2" x14ac:dyDescent="0.25">
      <c r="A9" s="4">
        <v>1</v>
      </c>
      <c r="B9" s="5">
        <v>4.5237769999999999</v>
      </c>
    </row>
    <row r="10" spans="1:2" x14ac:dyDescent="0.25">
      <c r="A10" s="4">
        <v>2</v>
      </c>
      <c r="B10" s="5">
        <v>4.5237769999999999</v>
      </c>
    </row>
    <row r="11" spans="1:2" x14ac:dyDescent="0.25">
      <c r="A11" s="4">
        <v>4</v>
      </c>
      <c r="B11" s="5">
        <v>4.5237769999999999</v>
      </c>
    </row>
    <row r="12" spans="1:2" x14ac:dyDescent="0.25">
      <c r="A12" s="3" t="s">
        <v>187</v>
      </c>
      <c r="B12" s="5">
        <v>7.0423149999999994</v>
      </c>
    </row>
    <row r="13" spans="1:2" x14ac:dyDescent="0.25">
      <c r="A13" s="4">
        <v>1</v>
      </c>
      <c r="B13" s="5">
        <v>7.0423330000000002</v>
      </c>
    </row>
    <row r="14" spans="1:2" x14ac:dyDescent="0.25">
      <c r="A14" s="4">
        <v>2</v>
      </c>
      <c r="B14" s="5">
        <v>7.0422409999999998</v>
      </c>
    </row>
    <row r="15" spans="1:2" x14ac:dyDescent="0.25">
      <c r="A15" s="4">
        <v>4</v>
      </c>
      <c r="B15" s="5">
        <v>7.0423710000000002</v>
      </c>
    </row>
    <row r="16" spans="1:2" x14ac:dyDescent="0.25">
      <c r="A16" s="3" t="s">
        <v>188</v>
      </c>
      <c r="B16" s="5">
        <v>1.102649</v>
      </c>
    </row>
    <row r="17" spans="1:2" x14ac:dyDescent="0.25">
      <c r="A17" s="4">
        <v>1</v>
      </c>
      <c r="B17" s="5">
        <v>1.1036170000000001</v>
      </c>
    </row>
    <row r="18" spans="1:2" x14ac:dyDescent="0.25">
      <c r="A18" s="4">
        <v>2</v>
      </c>
      <c r="B18" s="5">
        <v>1.1022460000000001</v>
      </c>
    </row>
    <row r="19" spans="1:2" x14ac:dyDescent="0.25">
      <c r="A19" s="4">
        <v>4</v>
      </c>
      <c r="B19" s="5">
        <v>1.1020840000000001</v>
      </c>
    </row>
    <row r="20" spans="1:2" x14ac:dyDescent="0.25">
      <c r="A20" s="3" t="s">
        <v>189</v>
      </c>
      <c r="B20" s="5">
        <v>1.2324636666666666</v>
      </c>
    </row>
    <row r="21" spans="1:2" x14ac:dyDescent="0.25">
      <c r="A21" s="4">
        <v>1</v>
      </c>
      <c r="B21" s="5">
        <v>1.2327090000000001</v>
      </c>
    </row>
    <row r="22" spans="1:2" x14ac:dyDescent="0.25">
      <c r="A22" s="4">
        <v>2</v>
      </c>
      <c r="B22" s="5">
        <v>1.2323850000000001</v>
      </c>
    </row>
    <row r="23" spans="1:2" x14ac:dyDescent="0.25">
      <c r="A23" s="4">
        <v>4</v>
      </c>
      <c r="B23" s="5">
        <v>1.232297</v>
      </c>
    </row>
    <row r="24" spans="1:2" x14ac:dyDescent="0.25">
      <c r="A24" s="3" t="s">
        <v>198</v>
      </c>
      <c r="B24" s="5">
        <v>3.1268367333333336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F5312-7B79-4732-957A-50E546B60071}">
  <sheetPr codeName="Sheet19"/>
  <dimension ref="A1:B24"/>
  <sheetViews>
    <sheetView topLeftCell="C1" workbookViewId="0">
      <selection activeCell="N27" sqref="M27:N27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194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2.1387333333333331E-2</v>
      </c>
    </row>
    <row r="5" spans="1:2" x14ac:dyDescent="0.25">
      <c r="A5" s="4">
        <v>1</v>
      </c>
      <c r="B5" s="5">
        <v>2.1366E-2</v>
      </c>
    </row>
    <row r="6" spans="1:2" x14ac:dyDescent="0.25">
      <c r="A6" s="4">
        <v>2</v>
      </c>
      <c r="B6" s="5">
        <v>2.1398E-2</v>
      </c>
    </row>
    <row r="7" spans="1:2" x14ac:dyDescent="0.25">
      <c r="A7" s="4">
        <v>4</v>
      </c>
      <c r="B7" s="5">
        <v>2.1398E-2</v>
      </c>
    </row>
    <row r="8" spans="1:2" x14ac:dyDescent="0.25">
      <c r="A8" s="3" t="s">
        <v>186</v>
      </c>
      <c r="B8" s="5">
        <v>5.4129000000000004E-2</v>
      </c>
    </row>
    <row r="9" spans="1:2" x14ac:dyDescent="0.25">
      <c r="A9" s="4">
        <v>1</v>
      </c>
      <c r="B9" s="5">
        <v>5.4128999999999997E-2</v>
      </c>
    </row>
    <row r="10" spans="1:2" x14ac:dyDescent="0.25">
      <c r="A10" s="4">
        <v>2</v>
      </c>
      <c r="B10" s="5">
        <v>5.4128999999999997E-2</v>
      </c>
    </row>
    <row r="11" spans="1:2" x14ac:dyDescent="0.25">
      <c r="A11" s="4">
        <v>4</v>
      </c>
      <c r="B11" s="5">
        <v>5.4128999999999997E-2</v>
      </c>
    </row>
    <row r="12" spans="1:2" x14ac:dyDescent="0.25">
      <c r="A12" s="3" t="s">
        <v>187</v>
      </c>
      <c r="B12" s="5">
        <v>0.12191233333333333</v>
      </c>
    </row>
    <row r="13" spans="1:2" x14ac:dyDescent="0.25">
      <c r="A13" s="4">
        <v>1</v>
      </c>
      <c r="B13" s="5">
        <v>0.12191200000000001</v>
      </c>
    </row>
    <row r="14" spans="1:2" x14ac:dyDescent="0.25">
      <c r="A14" s="4">
        <v>2</v>
      </c>
      <c r="B14" s="5">
        <v>0.12191200000000001</v>
      </c>
    </row>
    <row r="15" spans="1:2" x14ac:dyDescent="0.25">
      <c r="A15" s="4">
        <v>4</v>
      </c>
      <c r="B15" s="5">
        <v>0.12191299999999999</v>
      </c>
    </row>
    <row r="16" spans="1:2" x14ac:dyDescent="0.25">
      <c r="A16" s="3" t="s">
        <v>188</v>
      </c>
      <c r="B16" s="5">
        <v>3.2320000000000001E-3</v>
      </c>
    </row>
    <row r="17" spans="1:2" x14ac:dyDescent="0.25">
      <c r="A17" s="4">
        <v>1</v>
      </c>
      <c r="B17" s="5">
        <v>3.2320000000000001E-3</v>
      </c>
    </row>
    <row r="18" spans="1:2" x14ac:dyDescent="0.25">
      <c r="A18" s="4">
        <v>2</v>
      </c>
      <c r="B18" s="5">
        <v>3.2320000000000001E-3</v>
      </c>
    </row>
    <row r="19" spans="1:2" x14ac:dyDescent="0.25">
      <c r="A19" s="4">
        <v>4</v>
      </c>
      <c r="B19" s="5">
        <v>3.2320000000000001E-3</v>
      </c>
    </row>
    <row r="20" spans="1:2" x14ac:dyDescent="0.25">
      <c r="A20" s="3" t="s">
        <v>189</v>
      </c>
      <c r="B20" s="5">
        <v>5.778000000000001E-3</v>
      </c>
    </row>
    <row r="21" spans="1:2" x14ac:dyDescent="0.25">
      <c r="A21" s="4">
        <v>1</v>
      </c>
      <c r="B21" s="5">
        <v>5.7800000000000004E-3</v>
      </c>
    </row>
    <row r="22" spans="1:2" x14ac:dyDescent="0.25">
      <c r="A22" s="4">
        <v>2</v>
      </c>
      <c r="B22" s="5">
        <v>5.777E-3</v>
      </c>
    </row>
    <row r="23" spans="1:2" x14ac:dyDescent="0.25">
      <c r="A23" s="4">
        <v>4</v>
      </c>
      <c r="B23" s="5">
        <v>5.777E-3</v>
      </c>
    </row>
    <row r="24" spans="1:2" x14ac:dyDescent="0.25">
      <c r="A24" s="3" t="s">
        <v>198</v>
      </c>
      <c r="B24" s="5">
        <v>4.1287733333333347E-2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E1D14-6359-462A-97CE-13BB57D7B59B}">
  <sheetPr codeName="Sheet20"/>
  <dimension ref="A2:B25"/>
  <sheetViews>
    <sheetView topLeftCell="C1" workbookViewId="0">
      <selection activeCell="M26" sqref="M26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2" spans="1:2" x14ac:dyDescent="0.25">
      <c r="A2" s="2" t="s">
        <v>176</v>
      </c>
      <c r="B2" t="s">
        <v>194</v>
      </c>
    </row>
    <row r="4" spans="1:2" x14ac:dyDescent="0.25">
      <c r="A4" s="2" t="s">
        <v>197</v>
      </c>
      <c r="B4" t="s">
        <v>201</v>
      </c>
    </row>
    <row r="5" spans="1:2" x14ac:dyDescent="0.25">
      <c r="A5" s="3" t="s">
        <v>185</v>
      </c>
      <c r="B5" s="5">
        <v>7.6000000000000004E-5</v>
      </c>
    </row>
    <row r="6" spans="1:2" x14ac:dyDescent="0.25">
      <c r="A6" s="4">
        <v>1</v>
      </c>
      <c r="B6" s="5">
        <v>7.6000000000000004E-5</v>
      </c>
    </row>
    <row r="7" spans="1:2" x14ac:dyDescent="0.25">
      <c r="A7" s="4">
        <v>2</v>
      </c>
      <c r="B7" s="5">
        <v>7.6000000000000004E-5</v>
      </c>
    </row>
    <row r="8" spans="1:2" x14ac:dyDescent="0.25">
      <c r="A8" s="4">
        <v>4</v>
      </c>
      <c r="B8" s="5">
        <v>7.6000000000000004E-5</v>
      </c>
    </row>
    <row r="9" spans="1:2" x14ac:dyDescent="0.25">
      <c r="A9" s="3" t="s">
        <v>186</v>
      </c>
      <c r="B9" s="5">
        <v>7.7973000000000001E-2</v>
      </c>
    </row>
    <row r="10" spans="1:2" x14ac:dyDescent="0.25">
      <c r="A10" s="4">
        <v>1</v>
      </c>
      <c r="B10" s="5">
        <v>7.7973000000000001E-2</v>
      </c>
    </row>
    <row r="11" spans="1:2" x14ac:dyDescent="0.25">
      <c r="A11" s="4">
        <v>2</v>
      </c>
      <c r="B11" s="5">
        <v>7.7973000000000001E-2</v>
      </c>
    </row>
    <row r="12" spans="1:2" x14ac:dyDescent="0.25">
      <c r="A12" s="4">
        <v>4</v>
      </c>
      <c r="B12" s="5">
        <v>7.7973000000000001E-2</v>
      </c>
    </row>
    <row r="13" spans="1:2" x14ac:dyDescent="0.25">
      <c r="A13" s="3" t="s">
        <v>187</v>
      </c>
      <c r="B13" s="5">
        <v>2.0000000000000002E-5</v>
      </c>
    </row>
    <row r="14" spans="1:2" x14ac:dyDescent="0.25">
      <c r="A14" s="4">
        <v>1</v>
      </c>
      <c r="B14" s="5">
        <v>2.0000000000000002E-5</v>
      </c>
    </row>
    <row r="15" spans="1:2" x14ac:dyDescent="0.25">
      <c r="A15" s="4">
        <v>2</v>
      </c>
      <c r="B15" s="5">
        <v>2.0000000000000002E-5</v>
      </c>
    </row>
    <row r="16" spans="1:2" x14ac:dyDescent="0.25">
      <c r="A16" s="4">
        <v>4</v>
      </c>
      <c r="B16" s="5">
        <v>2.0000000000000002E-5</v>
      </c>
    </row>
    <row r="17" spans="1:2" x14ac:dyDescent="0.25">
      <c r="A17" s="3" t="s">
        <v>188</v>
      </c>
      <c r="B17" s="5">
        <v>3.4E-5</v>
      </c>
    </row>
    <row r="18" spans="1:2" x14ac:dyDescent="0.25">
      <c r="A18" s="4">
        <v>1</v>
      </c>
      <c r="B18" s="5">
        <v>3.4E-5</v>
      </c>
    </row>
    <row r="19" spans="1:2" x14ac:dyDescent="0.25">
      <c r="A19" s="4">
        <v>2</v>
      </c>
      <c r="B19" s="5">
        <v>3.4E-5</v>
      </c>
    </row>
    <row r="20" spans="1:2" x14ac:dyDescent="0.25">
      <c r="A20" s="4">
        <v>4</v>
      </c>
      <c r="B20" s="5">
        <v>3.4E-5</v>
      </c>
    </row>
    <row r="21" spans="1:2" x14ac:dyDescent="0.25">
      <c r="A21" s="3" t="s">
        <v>189</v>
      </c>
      <c r="B21" s="5">
        <v>1.36E-4</v>
      </c>
    </row>
    <row r="22" spans="1:2" x14ac:dyDescent="0.25">
      <c r="A22" s="4">
        <v>1</v>
      </c>
      <c r="B22" s="5">
        <v>1.36E-4</v>
      </c>
    </row>
    <row r="23" spans="1:2" x14ac:dyDescent="0.25">
      <c r="A23" s="4">
        <v>2</v>
      </c>
      <c r="B23" s="5">
        <v>1.36E-4</v>
      </c>
    </row>
    <row r="24" spans="1:2" x14ac:dyDescent="0.25">
      <c r="A24" s="4">
        <v>4</v>
      </c>
      <c r="B24" s="5">
        <v>1.36E-4</v>
      </c>
    </row>
    <row r="25" spans="1:2" x14ac:dyDescent="0.25">
      <c r="A25" s="3" t="s">
        <v>198</v>
      </c>
      <c r="B25" s="5">
        <v>1.56478E-2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EED7-BBE3-49F8-A7B6-AA074CD1C8C4}">
  <sheetPr codeName="Sheet21"/>
  <dimension ref="A1:B24"/>
  <sheetViews>
    <sheetView workbookViewId="0">
      <selection activeCell="H36" sqref="H36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194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0.27930933333333335</v>
      </c>
    </row>
    <row r="5" spans="1:2" x14ac:dyDescent="0.25">
      <c r="A5" s="4">
        <v>1</v>
      </c>
      <c r="B5" s="5">
        <v>0.30058699999999999</v>
      </c>
    </row>
    <row r="6" spans="1:2" x14ac:dyDescent="0.25">
      <c r="A6" s="4">
        <v>2</v>
      </c>
      <c r="B6" s="5">
        <v>0.27181100000000002</v>
      </c>
    </row>
    <row r="7" spans="1:2" x14ac:dyDescent="0.25">
      <c r="A7" s="4">
        <v>4</v>
      </c>
      <c r="B7" s="5">
        <v>0.26552999999999999</v>
      </c>
    </row>
    <row r="8" spans="1:2" x14ac:dyDescent="0.25">
      <c r="A8" s="3" t="s">
        <v>186</v>
      </c>
      <c r="B8" s="5">
        <v>0.89292199999999999</v>
      </c>
    </row>
    <row r="9" spans="1:2" x14ac:dyDescent="0.25">
      <c r="A9" s="4">
        <v>1</v>
      </c>
      <c r="B9" s="5">
        <v>0.89292199999999999</v>
      </c>
    </row>
    <row r="10" spans="1:2" x14ac:dyDescent="0.25">
      <c r="A10" s="4">
        <v>2</v>
      </c>
      <c r="B10" s="5">
        <v>0.89292199999999999</v>
      </c>
    </row>
    <row r="11" spans="1:2" x14ac:dyDescent="0.25">
      <c r="A11" s="4">
        <v>4</v>
      </c>
      <c r="B11" s="5">
        <v>0.89292199999999999</v>
      </c>
    </row>
    <row r="12" spans="1:2" x14ac:dyDescent="0.25">
      <c r="A12" s="3" t="s">
        <v>187</v>
      </c>
      <c r="B12" s="5">
        <v>0.99864266666666668</v>
      </c>
    </row>
    <row r="13" spans="1:2" x14ac:dyDescent="0.25">
      <c r="A13" s="4">
        <v>1</v>
      </c>
      <c r="B13" s="5">
        <v>0.998668</v>
      </c>
    </row>
    <row r="14" spans="1:2" x14ac:dyDescent="0.25">
      <c r="A14" s="4">
        <v>2</v>
      </c>
      <c r="B14" s="5">
        <v>0.99863000000000002</v>
      </c>
    </row>
    <row r="15" spans="1:2" x14ac:dyDescent="0.25">
      <c r="A15" s="4">
        <v>4</v>
      </c>
      <c r="B15" s="5">
        <v>0.99863000000000002</v>
      </c>
    </row>
    <row r="16" spans="1:2" x14ac:dyDescent="0.25">
      <c r="A16" s="3" t="s">
        <v>188</v>
      </c>
      <c r="B16" s="5">
        <v>0.54724366666666668</v>
      </c>
    </row>
    <row r="17" spans="1:2" x14ac:dyDescent="0.25">
      <c r="A17" s="4">
        <v>1</v>
      </c>
      <c r="B17" s="5">
        <v>0.56542700000000001</v>
      </c>
    </row>
    <row r="18" spans="1:2" x14ac:dyDescent="0.25">
      <c r="A18" s="4">
        <v>2</v>
      </c>
      <c r="B18" s="5">
        <v>0.54118900000000003</v>
      </c>
    </row>
    <row r="19" spans="1:2" x14ac:dyDescent="0.25">
      <c r="A19" s="4">
        <v>4</v>
      </c>
      <c r="B19" s="5">
        <v>0.53511500000000001</v>
      </c>
    </row>
    <row r="20" spans="1:2" x14ac:dyDescent="0.25">
      <c r="A20" s="3" t="s">
        <v>189</v>
      </c>
      <c r="B20" s="5">
        <v>2.5343333333333332E-2</v>
      </c>
    </row>
    <row r="21" spans="1:2" x14ac:dyDescent="0.25">
      <c r="A21" s="4">
        <v>1</v>
      </c>
      <c r="B21" s="5">
        <v>2.6973E-2</v>
      </c>
    </row>
    <row r="22" spans="1:2" x14ac:dyDescent="0.25">
      <c r="A22" s="4">
        <v>2</v>
      </c>
      <c r="B22" s="5">
        <v>2.4802999999999999E-2</v>
      </c>
    </row>
    <row r="23" spans="1:2" x14ac:dyDescent="0.25">
      <c r="A23" s="4">
        <v>4</v>
      </c>
      <c r="B23" s="5">
        <v>2.4254000000000001E-2</v>
      </c>
    </row>
    <row r="24" spans="1:2" x14ac:dyDescent="0.25">
      <c r="A24" s="3" t="s">
        <v>198</v>
      </c>
      <c r="B24" s="5">
        <v>0.54869220000000007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AA551-B48D-46BE-AE1C-39F1CB0F957A}">
  <sheetPr codeName="Sheet22"/>
  <dimension ref="A1:B34"/>
  <sheetViews>
    <sheetView topLeftCell="C1" workbookViewId="0">
      <selection activeCell="R35" sqref="R35"/>
    </sheetView>
  </sheetViews>
  <sheetFormatPr defaultRowHeight="15" x14ac:dyDescent="0.25"/>
  <cols>
    <col min="1" max="1" width="13.28515625" bestFit="1" customWidth="1"/>
    <col min="2" max="2" width="24.5703125" bestFit="1" customWidth="1"/>
  </cols>
  <sheetData>
    <row r="1" spans="1:2" x14ac:dyDescent="0.25">
      <c r="A1" s="2" t="s">
        <v>176</v>
      </c>
      <c r="B1" t="s">
        <v>184</v>
      </c>
    </row>
    <row r="3" spans="1:2" x14ac:dyDescent="0.25">
      <c r="A3" s="2" t="s">
        <v>197</v>
      </c>
      <c r="B3" t="s">
        <v>199</v>
      </c>
    </row>
    <row r="4" spans="1:2" x14ac:dyDescent="0.25">
      <c r="A4" s="3" t="s">
        <v>185</v>
      </c>
      <c r="B4" s="5">
        <v>1.7126293999999997</v>
      </c>
    </row>
    <row r="5" spans="1:2" x14ac:dyDescent="0.25">
      <c r="A5" s="4">
        <v>256</v>
      </c>
      <c r="B5" s="5">
        <v>1.782824</v>
      </c>
    </row>
    <row r="6" spans="1:2" x14ac:dyDescent="0.25">
      <c r="A6" s="4">
        <v>512</v>
      </c>
      <c r="B6" s="5">
        <v>1.727746</v>
      </c>
    </row>
    <row r="7" spans="1:2" x14ac:dyDescent="0.25">
      <c r="A7" s="4">
        <v>1024</v>
      </c>
      <c r="B7" s="5">
        <v>1.7011620000000001</v>
      </c>
    </row>
    <row r="8" spans="1:2" x14ac:dyDescent="0.25">
      <c r="A8" s="4">
        <v>2048</v>
      </c>
      <c r="B8" s="5">
        <v>1.6845969999999999</v>
      </c>
    </row>
    <row r="9" spans="1:2" x14ac:dyDescent="0.25">
      <c r="A9" s="4">
        <v>4096</v>
      </c>
      <c r="B9" s="5">
        <v>1.6668179999999999</v>
      </c>
    </row>
    <row r="10" spans="1:2" x14ac:dyDescent="0.25">
      <c r="A10" s="3" t="s">
        <v>186</v>
      </c>
      <c r="B10" s="5">
        <v>4.5237769999999999</v>
      </c>
    </row>
    <row r="11" spans="1:2" x14ac:dyDescent="0.25">
      <c r="A11" s="4">
        <v>256</v>
      </c>
      <c r="B11" s="5">
        <v>4.5237769999999999</v>
      </c>
    </row>
    <row r="12" spans="1:2" x14ac:dyDescent="0.25">
      <c r="A12" s="4">
        <v>512</v>
      </c>
      <c r="B12" s="5">
        <v>4.5237769999999999</v>
      </c>
    </row>
    <row r="13" spans="1:2" x14ac:dyDescent="0.25">
      <c r="A13" s="4">
        <v>1024</v>
      </c>
      <c r="B13" s="5">
        <v>4.5237769999999999</v>
      </c>
    </row>
    <row r="14" spans="1:2" x14ac:dyDescent="0.25">
      <c r="A14" s="4">
        <v>2048</v>
      </c>
      <c r="B14" s="5">
        <v>4.5237769999999999</v>
      </c>
    </row>
    <row r="15" spans="1:2" x14ac:dyDescent="0.25">
      <c r="A15" s="4">
        <v>4096</v>
      </c>
      <c r="B15" s="5">
        <v>4.5237769999999999</v>
      </c>
    </row>
    <row r="16" spans="1:2" x14ac:dyDescent="0.25">
      <c r="A16" s="3" t="s">
        <v>187</v>
      </c>
      <c r="B16" s="5">
        <v>7.0414408000000011</v>
      </c>
    </row>
    <row r="17" spans="1:2" x14ac:dyDescent="0.25">
      <c r="A17" s="4">
        <v>256</v>
      </c>
      <c r="B17" s="5">
        <v>7.0424170000000004</v>
      </c>
    </row>
    <row r="18" spans="1:2" x14ac:dyDescent="0.25">
      <c r="A18" s="4">
        <v>512</v>
      </c>
      <c r="B18" s="5">
        <v>7.0422409999999998</v>
      </c>
    </row>
    <row r="19" spans="1:2" x14ac:dyDescent="0.25">
      <c r="A19" s="4">
        <v>1024</v>
      </c>
      <c r="B19" s="5">
        <v>7.0419270000000003</v>
      </c>
    </row>
    <row r="20" spans="1:2" x14ac:dyDescent="0.25">
      <c r="A20" s="4">
        <v>2048</v>
      </c>
      <c r="B20" s="5">
        <v>7.0411229999999998</v>
      </c>
    </row>
    <row r="21" spans="1:2" x14ac:dyDescent="0.25">
      <c r="A21" s="4">
        <v>4096</v>
      </c>
      <c r="B21" s="5">
        <v>7.0394959999999998</v>
      </c>
    </row>
    <row r="22" spans="1:2" x14ac:dyDescent="0.25">
      <c r="A22" s="3" t="s">
        <v>188</v>
      </c>
      <c r="B22" s="5">
        <v>1.1003028000000001</v>
      </c>
    </row>
    <row r="23" spans="1:2" x14ac:dyDescent="0.25">
      <c r="A23" s="4">
        <v>256</v>
      </c>
      <c r="B23" s="5">
        <v>1.104293</v>
      </c>
    </row>
    <row r="24" spans="1:2" x14ac:dyDescent="0.25">
      <c r="A24" s="4">
        <v>512</v>
      </c>
      <c r="B24" s="5">
        <v>1.1022460000000001</v>
      </c>
    </row>
    <row r="25" spans="1:2" x14ac:dyDescent="0.25">
      <c r="A25" s="4">
        <v>1024</v>
      </c>
      <c r="B25" s="5">
        <v>1.0997710000000001</v>
      </c>
    </row>
    <row r="26" spans="1:2" x14ac:dyDescent="0.25">
      <c r="A26" s="4">
        <v>2048</v>
      </c>
      <c r="B26" s="5">
        <v>1.09768</v>
      </c>
    </row>
    <row r="27" spans="1:2" x14ac:dyDescent="0.25">
      <c r="A27" s="4">
        <v>4096</v>
      </c>
      <c r="B27" s="5">
        <v>1.0975239999999999</v>
      </c>
    </row>
    <row r="28" spans="1:2" x14ac:dyDescent="0.25">
      <c r="A28" s="3" t="s">
        <v>189</v>
      </c>
      <c r="B28" s="5">
        <v>1.2325116</v>
      </c>
    </row>
    <row r="29" spans="1:2" x14ac:dyDescent="0.25">
      <c r="A29" s="4">
        <v>256</v>
      </c>
      <c r="B29" s="5">
        <v>1.233336</v>
      </c>
    </row>
    <row r="30" spans="1:2" x14ac:dyDescent="0.25">
      <c r="A30" s="4">
        <v>512</v>
      </c>
      <c r="B30" s="5">
        <v>1.2323850000000001</v>
      </c>
    </row>
    <row r="31" spans="1:2" x14ac:dyDescent="0.25">
      <c r="A31" s="4">
        <v>1024</v>
      </c>
      <c r="B31" s="5">
        <v>1.2322789999999999</v>
      </c>
    </row>
    <row r="32" spans="1:2" x14ac:dyDescent="0.25">
      <c r="A32" s="4">
        <v>2048</v>
      </c>
      <c r="B32" s="5">
        <v>1.2322789999999999</v>
      </c>
    </row>
    <row r="33" spans="1:2" x14ac:dyDescent="0.25">
      <c r="A33" s="4">
        <v>4096</v>
      </c>
      <c r="B33" s="5">
        <v>1.2322789999999999</v>
      </c>
    </row>
    <row r="34" spans="1:2" x14ac:dyDescent="0.25">
      <c r="A34" s="3" t="s">
        <v>198</v>
      </c>
      <c r="B34" s="5">
        <v>3.1221323199999991</v>
      </c>
    </row>
  </sheetData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9DF39-C085-4977-882E-7C4DFC960C48}">
  <sheetPr codeName="Sheet23"/>
  <dimension ref="A1:B34"/>
  <sheetViews>
    <sheetView topLeftCell="C1" workbookViewId="0">
      <selection activeCell="M27" sqref="M27:N27"/>
    </sheetView>
  </sheetViews>
  <sheetFormatPr defaultRowHeight="15" x14ac:dyDescent="0.25"/>
  <cols>
    <col min="1" max="1" width="13.28515625" bestFit="1" customWidth="1"/>
    <col min="2" max="2" width="50.7109375" bestFit="1" customWidth="1"/>
    <col min="3" max="3" width="47.140625" bestFit="1" customWidth="1"/>
  </cols>
  <sheetData>
    <row r="1" spans="1:2" x14ac:dyDescent="0.25">
      <c r="A1" s="2" t="s">
        <v>176</v>
      </c>
      <c r="B1" t="s">
        <v>184</v>
      </c>
    </row>
    <row r="3" spans="1:2" x14ac:dyDescent="0.25">
      <c r="A3" s="2" t="s">
        <v>197</v>
      </c>
      <c r="B3" t="s">
        <v>200</v>
      </c>
    </row>
    <row r="4" spans="1:2" x14ac:dyDescent="0.25">
      <c r="A4" s="3" t="s">
        <v>185</v>
      </c>
      <c r="B4" s="5">
        <v>2.1397800000000002E-2</v>
      </c>
    </row>
    <row r="5" spans="1:2" x14ac:dyDescent="0.25">
      <c r="A5" s="4">
        <v>256</v>
      </c>
      <c r="B5" s="5">
        <v>2.138E-2</v>
      </c>
    </row>
    <row r="6" spans="1:2" x14ac:dyDescent="0.25">
      <c r="A6" s="4">
        <v>512</v>
      </c>
      <c r="B6" s="5">
        <v>2.1398E-2</v>
      </c>
    </row>
    <row r="7" spans="1:2" x14ac:dyDescent="0.25">
      <c r="A7" s="4">
        <v>1024</v>
      </c>
      <c r="B7" s="5">
        <v>2.1405E-2</v>
      </c>
    </row>
    <row r="8" spans="1:2" x14ac:dyDescent="0.25">
      <c r="A8" s="4">
        <v>2048</v>
      </c>
      <c r="B8" s="5">
        <v>2.1402999999999998E-2</v>
      </c>
    </row>
    <row r="9" spans="1:2" x14ac:dyDescent="0.25">
      <c r="A9" s="4">
        <v>4096</v>
      </c>
      <c r="B9" s="5">
        <v>2.1402999999999998E-2</v>
      </c>
    </row>
    <row r="10" spans="1:2" x14ac:dyDescent="0.25">
      <c r="A10" s="3" t="s">
        <v>186</v>
      </c>
      <c r="B10" s="5">
        <v>5.4128999999999997E-2</v>
      </c>
    </row>
    <row r="11" spans="1:2" x14ac:dyDescent="0.25">
      <c r="A11" s="4">
        <v>256</v>
      </c>
      <c r="B11" s="5">
        <v>5.4128999999999997E-2</v>
      </c>
    </row>
    <row r="12" spans="1:2" x14ac:dyDescent="0.25">
      <c r="A12" s="4">
        <v>512</v>
      </c>
      <c r="B12" s="5">
        <v>5.4128999999999997E-2</v>
      </c>
    </row>
    <row r="13" spans="1:2" x14ac:dyDescent="0.25">
      <c r="A13" s="4">
        <v>1024</v>
      </c>
      <c r="B13" s="5">
        <v>5.4128999999999997E-2</v>
      </c>
    </row>
    <row r="14" spans="1:2" x14ac:dyDescent="0.25">
      <c r="A14" s="4">
        <v>2048</v>
      </c>
      <c r="B14" s="5">
        <v>5.4128999999999997E-2</v>
      </c>
    </row>
    <row r="15" spans="1:2" x14ac:dyDescent="0.25">
      <c r="A15" s="4">
        <v>4096</v>
      </c>
      <c r="B15" s="5">
        <v>5.4128999999999997E-2</v>
      </c>
    </row>
    <row r="16" spans="1:2" x14ac:dyDescent="0.25">
      <c r="A16" s="3" t="s">
        <v>187</v>
      </c>
      <c r="B16" s="5">
        <v>0.12191199999999999</v>
      </c>
    </row>
    <row r="17" spans="1:2" x14ac:dyDescent="0.25">
      <c r="A17" s="4">
        <v>256</v>
      </c>
      <c r="B17" s="5">
        <v>0.12191200000000001</v>
      </c>
    </row>
    <row r="18" spans="1:2" x14ac:dyDescent="0.25">
      <c r="A18" s="4">
        <v>512</v>
      </c>
      <c r="B18" s="5">
        <v>0.12191200000000001</v>
      </c>
    </row>
    <row r="19" spans="1:2" x14ac:dyDescent="0.25">
      <c r="A19" s="4">
        <v>1024</v>
      </c>
      <c r="B19" s="5">
        <v>0.12191200000000001</v>
      </c>
    </row>
    <row r="20" spans="1:2" x14ac:dyDescent="0.25">
      <c r="A20" s="4">
        <v>2048</v>
      </c>
      <c r="B20" s="5">
        <v>0.12191200000000001</v>
      </c>
    </row>
    <row r="21" spans="1:2" x14ac:dyDescent="0.25">
      <c r="A21" s="4">
        <v>4096</v>
      </c>
      <c r="B21" s="5">
        <v>0.12191200000000001</v>
      </c>
    </row>
    <row r="22" spans="1:2" x14ac:dyDescent="0.25">
      <c r="A22" s="3" t="s">
        <v>188</v>
      </c>
      <c r="B22" s="5">
        <v>3.2314000000000002E-3</v>
      </c>
    </row>
    <row r="23" spans="1:2" x14ac:dyDescent="0.25">
      <c r="A23" s="4">
        <v>256</v>
      </c>
      <c r="B23" s="5">
        <v>3.2320000000000001E-3</v>
      </c>
    </row>
    <row r="24" spans="1:2" x14ac:dyDescent="0.25">
      <c r="A24" s="4">
        <v>512</v>
      </c>
      <c r="B24" s="5">
        <v>3.2320000000000001E-3</v>
      </c>
    </row>
    <row r="25" spans="1:2" x14ac:dyDescent="0.25">
      <c r="A25" s="4">
        <v>1024</v>
      </c>
      <c r="B25" s="5">
        <v>3.2309999999999999E-3</v>
      </c>
    </row>
    <row r="26" spans="1:2" x14ac:dyDescent="0.25">
      <c r="A26" s="4">
        <v>2048</v>
      </c>
      <c r="B26" s="5">
        <v>3.2309999999999999E-3</v>
      </c>
    </row>
    <row r="27" spans="1:2" x14ac:dyDescent="0.25">
      <c r="A27" s="4">
        <v>4096</v>
      </c>
      <c r="B27" s="5">
        <v>3.2309999999999999E-3</v>
      </c>
    </row>
    <row r="28" spans="1:2" x14ac:dyDescent="0.25">
      <c r="A28" s="3" t="s">
        <v>189</v>
      </c>
      <c r="B28" s="5">
        <v>5.7778000000000005E-3</v>
      </c>
    </row>
    <row r="29" spans="1:2" x14ac:dyDescent="0.25">
      <c r="A29" s="4">
        <v>256</v>
      </c>
      <c r="B29" s="5">
        <v>5.7809999999999997E-3</v>
      </c>
    </row>
    <row r="30" spans="1:2" x14ac:dyDescent="0.25">
      <c r="A30" s="4">
        <v>512</v>
      </c>
      <c r="B30" s="5">
        <v>5.777E-3</v>
      </c>
    </row>
    <row r="31" spans="1:2" x14ac:dyDescent="0.25">
      <c r="A31" s="4">
        <v>1024</v>
      </c>
      <c r="B31" s="5">
        <v>5.777E-3</v>
      </c>
    </row>
    <row r="32" spans="1:2" x14ac:dyDescent="0.25">
      <c r="A32" s="4">
        <v>2048</v>
      </c>
      <c r="B32" s="5">
        <v>5.777E-3</v>
      </c>
    </row>
    <row r="33" spans="1:2" x14ac:dyDescent="0.25">
      <c r="A33" s="4">
        <v>4096</v>
      </c>
      <c r="B33" s="5">
        <v>5.777E-3</v>
      </c>
    </row>
    <row r="34" spans="1:2" x14ac:dyDescent="0.25">
      <c r="A34" s="3" t="s">
        <v>198</v>
      </c>
      <c r="B34" s="5">
        <v>4.1289599999999996E-2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5677-5039-4BAC-B03E-227BD105BB2D}">
  <sheetPr codeName="Sheet24"/>
  <dimension ref="A2:B35"/>
  <sheetViews>
    <sheetView topLeftCell="D1" workbookViewId="0">
      <selection activeCell="Q35" sqref="Q35"/>
    </sheetView>
  </sheetViews>
  <sheetFormatPr defaultRowHeight="15" x14ac:dyDescent="0.25"/>
  <cols>
    <col min="1" max="1" width="13.28515625" bestFit="1" customWidth="1"/>
    <col min="2" max="2" width="50" bestFit="1" customWidth="1"/>
    <col min="3" max="3" width="46.5703125" bestFit="1" customWidth="1"/>
  </cols>
  <sheetData>
    <row r="2" spans="1:2" x14ac:dyDescent="0.25">
      <c r="A2" s="2" t="s">
        <v>176</v>
      </c>
      <c r="B2" t="s">
        <v>184</v>
      </c>
    </row>
    <row r="4" spans="1:2" x14ac:dyDescent="0.25">
      <c r="A4" s="2" t="s">
        <v>197</v>
      </c>
      <c r="B4" t="s">
        <v>201</v>
      </c>
    </row>
    <row r="5" spans="1:2" x14ac:dyDescent="0.25">
      <c r="A5" s="3" t="s">
        <v>185</v>
      </c>
      <c r="B5" s="5">
        <v>7.6000000000000004E-5</v>
      </c>
    </row>
    <row r="6" spans="1:2" x14ac:dyDescent="0.25">
      <c r="A6" s="4">
        <v>256</v>
      </c>
      <c r="B6" s="5">
        <v>7.6000000000000004E-5</v>
      </c>
    </row>
    <row r="7" spans="1:2" x14ac:dyDescent="0.25">
      <c r="A7" s="4">
        <v>512</v>
      </c>
      <c r="B7" s="5">
        <v>7.6000000000000004E-5</v>
      </c>
    </row>
    <row r="8" spans="1:2" x14ac:dyDescent="0.25">
      <c r="A8" s="4">
        <v>1024</v>
      </c>
      <c r="B8" s="5">
        <v>7.6000000000000004E-5</v>
      </c>
    </row>
    <row r="9" spans="1:2" x14ac:dyDescent="0.25">
      <c r="A9" s="4">
        <v>2048</v>
      </c>
      <c r="B9" s="5">
        <v>7.6000000000000004E-5</v>
      </c>
    </row>
    <row r="10" spans="1:2" x14ac:dyDescent="0.25">
      <c r="A10" s="4">
        <v>4096</v>
      </c>
      <c r="B10" s="5">
        <v>7.6000000000000004E-5</v>
      </c>
    </row>
    <row r="11" spans="1:2" x14ac:dyDescent="0.25">
      <c r="A11" s="3" t="s">
        <v>186</v>
      </c>
      <c r="B11" s="5">
        <v>7.7973000000000001E-2</v>
      </c>
    </row>
    <row r="12" spans="1:2" x14ac:dyDescent="0.25">
      <c r="A12" s="4">
        <v>256</v>
      </c>
      <c r="B12" s="5">
        <v>7.7973000000000001E-2</v>
      </c>
    </row>
    <row r="13" spans="1:2" x14ac:dyDescent="0.25">
      <c r="A13" s="4">
        <v>512</v>
      </c>
      <c r="B13" s="5">
        <v>7.7973000000000001E-2</v>
      </c>
    </row>
    <row r="14" spans="1:2" x14ac:dyDescent="0.25">
      <c r="A14" s="4">
        <v>1024</v>
      </c>
      <c r="B14" s="5">
        <v>7.7973000000000001E-2</v>
      </c>
    </row>
    <row r="15" spans="1:2" x14ac:dyDescent="0.25">
      <c r="A15" s="4">
        <v>2048</v>
      </c>
      <c r="B15" s="5">
        <v>7.7973000000000001E-2</v>
      </c>
    </row>
    <row r="16" spans="1:2" x14ac:dyDescent="0.25">
      <c r="A16" s="4">
        <v>4096</v>
      </c>
      <c r="B16" s="5">
        <v>7.7973000000000001E-2</v>
      </c>
    </row>
    <row r="17" spans="1:2" x14ac:dyDescent="0.25">
      <c r="A17" s="3" t="s">
        <v>187</v>
      </c>
      <c r="B17" s="5">
        <v>2.0000000000000002E-5</v>
      </c>
    </row>
    <row r="18" spans="1:2" x14ac:dyDescent="0.25">
      <c r="A18" s="4">
        <v>256</v>
      </c>
      <c r="B18" s="5">
        <v>2.0000000000000002E-5</v>
      </c>
    </row>
    <row r="19" spans="1:2" x14ac:dyDescent="0.25">
      <c r="A19" s="4">
        <v>512</v>
      </c>
      <c r="B19" s="5">
        <v>2.0000000000000002E-5</v>
      </c>
    </row>
    <row r="20" spans="1:2" x14ac:dyDescent="0.25">
      <c r="A20" s="4">
        <v>1024</v>
      </c>
      <c r="B20" s="5">
        <v>2.0000000000000002E-5</v>
      </c>
    </row>
    <row r="21" spans="1:2" x14ac:dyDescent="0.25">
      <c r="A21" s="4">
        <v>2048</v>
      </c>
      <c r="B21" s="5">
        <v>2.0000000000000002E-5</v>
      </c>
    </row>
    <row r="22" spans="1:2" x14ac:dyDescent="0.25">
      <c r="A22" s="4">
        <v>4096</v>
      </c>
      <c r="B22" s="5">
        <v>2.0000000000000002E-5</v>
      </c>
    </row>
    <row r="23" spans="1:2" x14ac:dyDescent="0.25">
      <c r="A23" s="3" t="s">
        <v>188</v>
      </c>
      <c r="B23" s="5">
        <v>3.4E-5</v>
      </c>
    </row>
    <row r="24" spans="1:2" x14ac:dyDescent="0.25">
      <c r="A24" s="4">
        <v>256</v>
      </c>
      <c r="B24" s="5">
        <v>3.4E-5</v>
      </c>
    </row>
    <row r="25" spans="1:2" x14ac:dyDescent="0.25">
      <c r="A25" s="4">
        <v>512</v>
      </c>
      <c r="B25" s="5">
        <v>3.4E-5</v>
      </c>
    </row>
    <row r="26" spans="1:2" x14ac:dyDescent="0.25">
      <c r="A26" s="4">
        <v>1024</v>
      </c>
      <c r="B26" s="5">
        <v>3.4E-5</v>
      </c>
    </row>
    <row r="27" spans="1:2" x14ac:dyDescent="0.25">
      <c r="A27" s="4">
        <v>2048</v>
      </c>
      <c r="B27" s="5">
        <v>3.4E-5</v>
      </c>
    </row>
    <row r="28" spans="1:2" x14ac:dyDescent="0.25">
      <c r="A28" s="4">
        <v>4096</v>
      </c>
      <c r="B28" s="5">
        <v>3.4E-5</v>
      </c>
    </row>
    <row r="29" spans="1:2" x14ac:dyDescent="0.25">
      <c r="A29" s="3" t="s">
        <v>189</v>
      </c>
      <c r="B29" s="5">
        <v>1.36E-4</v>
      </c>
    </row>
    <row r="30" spans="1:2" x14ac:dyDescent="0.25">
      <c r="A30" s="4">
        <v>256</v>
      </c>
      <c r="B30" s="5">
        <v>1.36E-4</v>
      </c>
    </row>
    <row r="31" spans="1:2" x14ac:dyDescent="0.25">
      <c r="A31" s="4">
        <v>512</v>
      </c>
      <c r="B31" s="5">
        <v>1.36E-4</v>
      </c>
    </row>
    <row r="32" spans="1:2" x14ac:dyDescent="0.25">
      <c r="A32" s="4">
        <v>1024</v>
      </c>
      <c r="B32" s="5">
        <v>1.36E-4</v>
      </c>
    </row>
    <row r="33" spans="1:2" x14ac:dyDescent="0.25">
      <c r="A33" s="4">
        <v>2048</v>
      </c>
      <c r="B33" s="5">
        <v>1.36E-4</v>
      </c>
    </row>
    <row r="34" spans="1:2" x14ac:dyDescent="0.25">
      <c r="A34" s="4">
        <v>4096</v>
      </c>
      <c r="B34" s="5">
        <v>1.36E-4</v>
      </c>
    </row>
    <row r="35" spans="1:2" x14ac:dyDescent="0.25">
      <c r="A35" s="3" t="s">
        <v>198</v>
      </c>
      <c r="B35" s="5">
        <v>1.5647800000000007E-2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9B97-E6D0-4DC2-B113-27ACEE09C41E}">
  <sheetPr codeName="Sheet25"/>
  <dimension ref="A1:B34"/>
  <sheetViews>
    <sheetView workbookViewId="0">
      <selection activeCell="D26" sqref="D26"/>
    </sheetView>
  </sheetViews>
  <sheetFormatPr defaultRowHeight="15" x14ac:dyDescent="0.25"/>
  <cols>
    <col min="1" max="1" width="13.28515625" bestFit="1" customWidth="1"/>
    <col min="2" max="2" width="42.140625" bestFit="1" customWidth="1"/>
    <col min="3" max="3" width="9" bestFit="1" customWidth="1"/>
    <col min="4" max="4" width="10" bestFit="1" customWidth="1"/>
    <col min="5" max="5" width="12" bestFit="1" customWidth="1"/>
  </cols>
  <sheetData>
    <row r="1" spans="1:2" x14ac:dyDescent="0.25">
      <c r="A1" s="2" t="s">
        <v>176</v>
      </c>
      <c r="B1" t="s">
        <v>184</v>
      </c>
    </row>
    <row r="3" spans="1:2" x14ac:dyDescent="0.25">
      <c r="A3" s="2" t="s">
        <v>197</v>
      </c>
      <c r="B3" t="s">
        <v>202</v>
      </c>
    </row>
    <row r="4" spans="1:2" x14ac:dyDescent="0.25">
      <c r="A4" s="3" t="s">
        <v>185</v>
      </c>
      <c r="B4" s="5">
        <v>0.24420080000000005</v>
      </c>
    </row>
    <row r="5" spans="1:2" x14ac:dyDescent="0.25">
      <c r="A5" s="4">
        <v>256</v>
      </c>
      <c r="B5" s="5">
        <v>0.35717199999999999</v>
      </c>
    </row>
    <row r="6" spans="1:2" x14ac:dyDescent="0.25">
      <c r="A6" s="4">
        <v>512</v>
      </c>
      <c r="B6" s="5">
        <v>0.27181100000000002</v>
      </c>
    </row>
    <row r="7" spans="1:2" x14ac:dyDescent="0.25">
      <c r="A7" s="4">
        <v>1024</v>
      </c>
      <c r="B7" s="5">
        <v>0.22436600000000001</v>
      </c>
    </row>
    <row r="8" spans="1:2" x14ac:dyDescent="0.25">
      <c r="A8" s="4">
        <v>2048</v>
      </c>
      <c r="B8" s="5">
        <v>0.19744400000000001</v>
      </c>
    </row>
    <row r="9" spans="1:2" x14ac:dyDescent="0.25">
      <c r="A9" s="4">
        <v>4096</v>
      </c>
      <c r="B9" s="5">
        <v>0.170211</v>
      </c>
    </row>
    <row r="10" spans="1:2" x14ac:dyDescent="0.25">
      <c r="A10" s="3" t="s">
        <v>186</v>
      </c>
      <c r="B10" s="5">
        <v>0.8929220000000001</v>
      </c>
    </row>
    <row r="11" spans="1:2" x14ac:dyDescent="0.25">
      <c r="A11" s="4">
        <v>256</v>
      </c>
      <c r="B11" s="5">
        <v>0.89292199999999999</v>
      </c>
    </row>
    <row r="12" spans="1:2" x14ac:dyDescent="0.25">
      <c r="A12" s="4">
        <v>512</v>
      </c>
      <c r="B12" s="5">
        <v>0.89292199999999999</v>
      </c>
    </row>
    <row r="13" spans="1:2" x14ac:dyDescent="0.25">
      <c r="A13" s="4">
        <v>1024</v>
      </c>
      <c r="B13" s="5">
        <v>0.89292199999999999</v>
      </c>
    </row>
    <row r="14" spans="1:2" x14ac:dyDescent="0.25">
      <c r="A14" s="4">
        <v>2048</v>
      </c>
      <c r="B14" s="5">
        <v>0.89292199999999999</v>
      </c>
    </row>
    <row r="15" spans="1:2" x14ac:dyDescent="0.25">
      <c r="A15" s="4">
        <v>4096</v>
      </c>
      <c r="B15" s="5">
        <v>0.89292199999999999</v>
      </c>
    </row>
    <row r="16" spans="1:2" x14ac:dyDescent="0.25">
      <c r="A16" s="3" t="s">
        <v>187</v>
      </c>
      <c r="B16" s="5">
        <v>0.99863020000000002</v>
      </c>
    </row>
    <row r="17" spans="1:2" x14ac:dyDescent="0.25">
      <c r="A17" s="4">
        <v>256</v>
      </c>
      <c r="B17" s="5">
        <v>0.99863100000000005</v>
      </c>
    </row>
    <row r="18" spans="1:2" x14ac:dyDescent="0.25">
      <c r="A18" s="4">
        <v>512</v>
      </c>
      <c r="B18" s="5">
        <v>0.99863000000000002</v>
      </c>
    </row>
    <row r="19" spans="1:2" x14ac:dyDescent="0.25">
      <c r="A19" s="4">
        <v>1024</v>
      </c>
      <c r="B19" s="5">
        <v>0.99863000000000002</v>
      </c>
    </row>
    <row r="20" spans="1:2" x14ac:dyDescent="0.25">
      <c r="A20" s="4">
        <v>2048</v>
      </c>
      <c r="B20" s="5">
        <v>0.99863000000000002</v>
      </c>
    </row>
    <row r="21" spans="1:2" x14ac:dyDescent="0.25">
      <c r="A21" s="4">
        <v>4096</v>
      </c>
      <c r="B21" s="5">
        <v>0.99863000000000002</v>
      </c>
    </row>
    <row r="22" spans="1:2" x14ac:dyDescent="0.25">
      <c r="A22" s="3" t="s">
        <v>188</v>
      </c>
      <c r="B22" s="5">
        <v>0.50784320000000005</v>
      </c>
    </row>
    <row r="23" spans="1:2" x14ac:dyDescent="0.25">
      <c r="A23" s="4">
        <v>256</v>
      </c>
      <c r="B23" s="5">
        <v>0.57408000000000003</v>
      </c>
    </row>
    <row r="24" spans="1:2" x14ac:dyDescent="0.25">
      <c r="A24" s="4">
        <v>512</v>
      </c>
      <c r="B24" s="5">
        <v>0.54118900000000003</v>
      </c>
    </row>
    <row r="25" spans="1:2" x14ac:dyDescent="0.25">
      <c r="A25" s="4">
        <v>1024</v>
      </c>
      <c r="B25" s="5">
        <v>0.49755899999999997</v>
      </c>
    </row>
    <row r="26" spans="1:2" x14ac:dyDescent="0.25">
      <c r="A26" s="4">
        <v>2048</v>
      </c>
      <c r="B26" s="5">
        <v>0.46477600000000002</v>
      </c>
    </row>
    <row r="27" spans="1:2" x14ac:dyDescent="0.25">
      <c r="A27" s="4">
        <v>4096</v>
      </c>
      <c r="B27" s="5">
        <v>0.46161200000000002</v>
      </c>
    </row>
    <row r="28" spans="1:2" x14ac:dyDescent="0.25">
      <c r="A28" s="3" t="s">
        <v>189</v>
      </c>
      <c r="B28" s="5">
        <v>2.55278E-2</v>
      </c>
    </row>
    <row r="29" spans="1:2" x14ac:dyDescent="0.25">
      <c r="A29" s="4">
        <v>256</v>
      </c>
      <c r="B29" s="5">
        <v>3.0449E-2</v>
      </c>
    </row>
    <row r="30" spans="1:2" x14ac:dyDescent="0.25">
      <c r="A30" s="4">
        <v>512</v>
      </c>
      <c r="B30" s="5">
        <v>2.4802999999999999E-2</v>
      </c>
    </row>
    <row r="31" spans="1:2" x14ac:dyDescent="0.25">
      <c r="A31" s="4">
        <v>1024</v>
      </c>
      <c r="B31" s="5">
        <v>2.4129000000000001E-2</v>
      </c>
    </row>
    <row r="32" spans="1:2" x14ac:dyDescent="0.25">
      <c r="A32" s="4">
        <v>2048</v>
      </c>
      <c r="B32" s="5">
        <v>2.4129000000000001E-2</v>
      </c>
    </row>
    <row r="33" spans="1:2" x14ac:dyDescent="0.25">
      <c r="A33" s="4">
        <v>4096</v>
      </c>
      <c r="B33" s="5">
        <v>2.4129000000000001E-2</v>
      </c>
    </row>
    <row r="34" spans="1:2" x14ac:dyDescent="0.25">
      <c r="A34" s="3" t="s">
        <v>198</v>
      </c>
      <c r="B34" s="5">
        <v>0.53382480000000021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data</vt:lpstr>
      <vt:lpstr>data2</vt:lpstr>
      <vt:lpstr>cache cpi</vt:lpstr>
      <vt:lpstr>cache dcache</vt:lpstr>
      <vt:lpstr>cache icache</vt:lpstr>
      <vt:lpstr>cache l2</vt:lpstr>
      <vt:lpstr>l1d-l1i cpi</vt:lpstr>
      <vt:lpstr>l1d-l1i dcache</vt:lpstr>
      <vt:lpstr>l1d-l1i icache</vt:lpstr>
      <vt:lpstr>l1d-l1i l2</vt:lpstr>
      <vt:lpstr>l1d_assoc cpi</vt:lpstr>
      <vt:lpstr>l1d_assoc dcache</vt:lpstr>
      <vt:lpstr>l1d_assoc icache</vt:lpstr>
      <vt:lpstr>l1d_assoc l2</vt:lpstr>
      <vt:lpstr>l1i_assoc cpi</vt:lpstr>
      <vt:lpstr>l1i_assoc dcache</vt:lpstr>
      <vt:lpstr>l1i_assoc icache</vt:lpstr>
      <vt:lpstr>l1i_assoc l2</vt:lpstr>
      <vt:lpstr>l2d_assoc cpi</vt:lpstr>
      <vt:lpstr>l2d_assoc dcache</vt:lpstr>
      <vt:lpstr>l2d_assoc icache</vt:lpstr>
      <vt:lpstr>l2d_assoc l2</vt:lpstr>
      <vt:lpstr>l2_size cpi</vt:lpstr>
      <vt:lpstr>l2_size dcache</vt:lpstr>
      <vt:lpstr>l2_size icache</vt:lpstr>
      <vt:lpstr>l2_size 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PhD</dc:creator>
  <cp:lastModifiedBy>PhD</cp:lastModifiedBy>
  <dcterms:created xsi:type="dcterms:W3CDTF">2019-12-17T23:07:36Z</dcterms:created>
  <dcterms:modified xsi:type="dcterms:W3CDTF">2019-12-29T23:02:51Z</dcterms:modified>
</cp:coreProperties>
</file>
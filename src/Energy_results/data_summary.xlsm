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ml.chartshapes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ml.chartshapes+xml"/>
  <Override PartName="/xl/pivotTables/pivotTable7.xml" ContentType="application/vnd.openxmlformats-officedocument.spreadsheetml.pivotTable+xml"/>
  <Override PartName="/xl/drawings/drawing9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0.xml" ContentType="application/vnd.openxmlformats-officedocument.drawingml.chartshapes+xml"/>
  <Override PartName="/xl/pivotTables/pivotTable8.xml" ContentType="application/vnd.openxmlformats-officedocument.spreadsheetml.pivotTable+xml"/>
  <Override PartName="/xl/drawings/drawing11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9.xml" ContentType="application/vnd.openxmlformats-officedocument.spreadsheetml.pivotTable+xml"/>
  <Override PartName="/xl/drawings/drawing12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10.xml" ContentType="application/vnd.openxmlformats-officedocument.spreadsheetml.pivotTable+xml"/>
  <Override PartName="/xl/drawings/drawing13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11.xml" ContentType="application/vnd.openxmlformats-officedocument.spreadsheetml.pivotTable+xml"/>
  <Override PartName="/xl/drawings/drawing14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12.xml" ContentType="application/vnd.openxmlformats-officedocument.spreadsheetml.pivotTable+xml"/>
  <Override PartName="/xl/drawings/drawing15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ivotTables/pivotTable13.xml" ContentType="application/vnd.openxmlformats-officedocument.spreadsheetml.pivotTable+xml"/>
  <Override PartName="/xl/drawings/drawing1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pivotTables/pivotTable14.xml" ContentType="application/vnd.openxmlformats-officedocument.spreadsheetml.pivotTable+xml"/>
  <Override PartName="/xl/drawings/drawing17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pivotTables/pivotTable15.xml" ContentType="application/vnd.openxmlformats-officedocument.spreadsheetml.pivotTable+xml"/>
  <Override PartName="/xl/drawings/drawing18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pivotTables/pivotTable16.xml" ContentType="application/vnd.openxmlformats-officedocument.spreadsheetml.pivotTable+xml"/>
  <Override PartName="/xl/drawings/drawing19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pivotTables/pivotTable17.xml" ContentType="application/vnd.openxmlformats-officedocument.spreadsheetml.pivotTable+xml"/>
  <Override PartName="/xl/drawings/drawing2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pivotTables/pivotTable18.xml" ContentType="application/vnd.openxmlformats-officedocument.spreadsheetml.pivotTable+xml"/>
  <Override PartName="/xl/drawings/drawing21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pivotTables/pivotTable19.xml" ContentType="application/vnd.openxmlformats-officedocument.spreadsheetml.pivotTable+xml"/>
  <Override PartName="/xl/drawings/drawing22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PhD\Documents\GitHub\architect3\src\Energy_results\"/>
    </mc:Choice>
  </mc:AlternateContent>
  <xr:revisionPtr revIDLastSave="0" documentId="13_ncr:1_{C881C287-C669-4258-85BB-CC5C84CC1187}" xr6:coauthVersionLast="41" xr6:coauthVersionMax="41" xr10:uidLastSave="{00000000-0000-0000-0000-000000000000}"/>
  <bookViews>
    <workbookView xWindow="-120" yWindow="-120" windowWidth="29040" windowHeight="15840" tabRatio="845" activeTab="5" xr2:uid="{C4FF7328-D840-4E3E-8A85-0D544B1A6178}"/>
  </bookViews>
  <sheets>
    <sheet name="data" sheetId="1" r:id="rId1"/>
    <sheet name="data2" sheetId="26" r:id="rId2"/>
    <sheet name="cache w" sheetId="27" r:id="rId3"/>
    <sheet name="cache w (2)" sheetId="28" r:id="rId4"/>
    <sheet name="cache area" sheetId="29" r:id="rId5"/>
    <sheet name="cache perf" sheetId="30" r:id="rId6"/>
    <sheet name="l1d-l1i w (2)" sheetId="32" r:id="rId7"/>
    <sheet name="l1d-l1i area" sheetId="34" r:id="rId8"/>
    <sheet name="l1d-l1i perf" sheetId="35" r:id="rId9"/>
    <sheet name="l1d_assoc w (2)" sheetId="36" r:id="rId10"/>
    <sheet name="l1d_assoc area" sheetId="38" r:id="rId11"/>
    <sheet name="l1d_assoc perf" sheetId="39" r:id="rId12"/>
    <sheet name="l1i_assoc w (2)" sheetId="40" r:id="rId13"/>
    <sheet name="l1i_assoc area" sheetId="41" r:id="rId14"/>
    <sheet name="l1i_assoc perf" sheetId="42" r:id="rId15"/>
    <sheet name="l2d_assoc w (2)" sheetId="43" r:id="rId16"/>
    <sheet name="l2d_assoc area" sheetId="44" r:id="rId17"/>
    <sheet name="l2d_assoc perf" sheetId="45" r:id="rId18"/>
    <sheet name="l2 size w (2)" sheetId="46" r:id="rId19"/>
    <sheet name="l2 size area" sheetId="47" r:id="rId20"/>
    <sheet name="l2 size perf" sheetId="48" r:id="rId21"/>
  </sheets>
  <calcPr calcId="191029"/>
  <pivotCaches>
    <pivotCache cacheId="22" r:id="rId2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37" i="26" l="1"/>
  <c r="P38" i="26"/>
  <c r="P39" i="26"/>
  <c r="P40" i="26"/>
  <c r="P41" i="26"/>
  <c r="P42" i="26"/>
  <c r="P43" i="26"/>
  <c r="P44" i="26"/>
  <c r="P45" i="26"/>
  <c r="P46" i="26"/>
  <c r="P47" i="26"/>
  <c r="P48" i="26"/>
  <c r="P49" i="26"/>
  <c r="P50" i="26"/>
  <c r="P51" i="26"/>
  <c r="P52" i="26"/>
  <c r="P53" i="26"/>
  <c r="P54" i="26"/>
  <c r="P55" i="26"/>
  <c r="P56" i="26"/>
  <c r="P57" i="26"/>
  <c r="P58" i="26"/>
  <c r="P59" i="26"/>
  <c r="P60" i="26"/>
  <c r="P61" i="26"/>
  <c r="P62" i="26"/>
  <c r="P63" i="26"/>
  <c r="P64" i="26"/>
  <c r="P65" i="26"/>
  <c r="P66" i="26"/>
  <c r="P67" i="26"/>
  <c r="P68" i="26"/>
  <c r="P69" i="26"/>
  <c r="P36" i="26"/>
  <c r="Q3" i="26"/>
  <c r="Q4" i="26"/>
  <c r="Q5" i="26"/>
  <c r="Q6" i="26"/>
  <c r="Q7" i="26"/>
  <c r="Q8" i="26"/>
  <c r="Q9" i="26"/>
  <c r="Q10" i="26"/>
  <c r="Q11" i="26"/>
  <c r="Q12" i="26"/>
  <c r="Q13" i="26"/>
  <c r="Q14" i="26"/>
  <c r="Q15" i="26"/>
  <c r="Q16" i="26"/>
  <c r="Q17" i="26"/>
  <c r="Q18" i="26"/>
  <c r="Q19" i="26"/>
  <c r="Q20" i="26"/>
  <c r="Q21" i="26"/>
  <c r="Q22" i="26"/>
  <c r="Q23" i="26"/>
  <c r="Q24" i="26"/>
  <c r="Q25" i="26"/>
  <c r="Q26" i="26"/>
  <c r="Q27" i="26"/>
  <c r="Q28" i="26"/>
  <c r="Q29" i="26"/>
  <c r="Q30" i="26"/>
  <c r="Q31" i="26"/>
  <c r="Q32" i="26"/>
  <c r="Q33" i="26"/>
  <c r="Q34" i="26"/>
  <c r="Q35" i="26"/>
  <c r="Q36" i="26"/>
  <c r="Q37" i="26"/>
  <c r="Q38" i="26"/>
  <c r="Q39" i="26"/>
  <c r="Q40" i="26"/>
  <c r="Q41" i="26"/>
  <c r="Q42" i="26"/>
  <c r="Q43" i="26"/>
  <c r="Q44" i="26"/>
  <c r="Q45" i="26"/>
  <c r="Q46" i="26"/>
  <c r="Q47" i="26"/>
  <c r="Q48" i="26"/>
  <c r="Q49" i="26"/>
  <c r="Q50" i="26"/>
  <c r="Q51" i="26"/>
  <c r="Q52" i="26"/>
  <c r="Q53" i="26"/>
  <c r="Q54" i="26"/>
  <c r="Q55" i="26"/>
  <c r="Q56" i="26"/>
  <c r="Q57" i="26"/>
  <c r="Q58" i="26"/>
  <c r="Q59" i="26"/>
  <c r="Q60" i="26"/>
  <c r="Q61" i="26"/>
  <c r="Q62" i="26"/>
  <c r="Q63" i="26"/>
  <c r="Q64" i="26"/>
  <c r="Q65" i="26"/>
  <c r="Q66" i="26"/>
  <c r="Q67" i="26"/>
  <c r="Q68" i="26"/>
  <c r="Q69" i="26"/>
  <c r="Q70" i="26"/>
  <c r="Q71" i="26"/>
  <c r="Q72" i="26"/>
  <c r="Q73" i="26"/>
  <c r="Q74" i="26"/>
  <c r="Q75" i="26"/>
  <c r="Q76" i="26"/>
  <c r="Q77" i="26"/>
  <c r="Q78" i="26"/>
  <c r="Q79" i="26"/>
  <c r="Q80" i="26"/>
  <c r="Q81" i="26"/>
  <c r="Q82" i="26"/>
  <c r="Q83" i="26"/>
  <c r="Q84" i="26"/>
  <c r="Q85" i="26"/>
  <c r="Q86" i="26"/>
  <c r="Q87" i="26"/>
  <c r="Q88" i="26"/>
  <c r="Q89" i="26"/>
  <c r="Q90" i="26"/>
  <c r="Q91" i="26"/>
  <c r="Q92" i="26"/>
  <c r="Q93" i="26"/>
  <c r="Q94" i="26"/>
  <c r="Q95" i="26"/>
  <c r="Q96" i="26"/>
  <c r="Q97" i="26"/>
  <c r="Q98" i="26"/>
  <c r="Q99" i="26"/>
  <c r="Q100" i="26"/>
  <c r="Q101" i="26"/>
  <c r="Q102" i="26"/>
  <c r="Q103" i="26"/>
  <c r="Q104" i="26"/>
  <c r="Q105" i="26"/>
  <c r="Q106" i="26"/>
  <c r="Q107" i="26"/>
  <c r="Q108" i="26"/>
  <c r="Q109" i="26"/>
  <c r="Q110" i="26"/>
  <c r="Q111" i="26"/>
  <c r="Q112" i="26"/>
  <c r="Q113" i="26"/>
  <c r="Q114" i="26"/>
  <c r="Q115" i="26"/>
  <c r="Q116" i="26"/>
  <c r="Q117" i="26"/>
  <c r="Q118" i="26"/>
  <c r="Q119" i="26"/>
  <c r="Q120" i="26"/>
  <c r="Q121" i="26"/>
  <c r="Q122" i="26"/>
  <c r="Q123" i="26"/>
  <c r="Q124" i="26"/>
  <c r="Q125" i="26"/>
  <c r="Q126" i="26"/>
  <c r="Q127" i="26"/>
  <c r="Q128" i="26"/>
  <c r="Q129" i="26"/>
  <c r="Q130" i="26"/>
  <c r="Q131" i="26"/>
  <c r="Q132" i="26"/>
  <c r="Q133" i="26"/>
  <c r="Q134" i="26"/>
  <c r="Q135" i="26"/>
  <c r="Q136" i="26"/>
  <c r="Q137" i="26"/>
  <c r="Q138" i="26"/>
  <c r="Q139" i="26"/>
  <c r="Q140" i="26"/>
  <c r="Q141" i="26"/>
  <c r="Q142" i="26"/>
  <c r="Q143" i="26"/>
  <c r="Q144" i="26"/>
  <c r="Q145" i="26"/>
  <c r="Q146" i="26"/>
  <c r="Q147" i="26"/>
  <c r="Q148" i="26"/>
  <c r="Q149" i="26"/>
  <c r="Q150" i="26"/>
  <c r="Q151" i="26"/>
  <c r="Q152" i="26"/>
  <c r="Q153" i="26"/>
  <c r="Q154" i="26"/>
  <c r="Q155" i="26"/>
  <c r="Q156" i="26"/>
  <c r="Q157" i="26"/>
  <c r="Q158" i="26"/>
  <c r="Q159" i="26"/>
  <c r="Q160" i="26"/>
  <c r="Q161" i="26"/>
  <c r="Q162" i="26"/>
  <c r="Q163" i="26"/>
  <c r="Q164" i="26"/>
  <c r="Q165" i="26"/>
  <c r="Q166" i="26"/>
  <c r="Q167" i="26"/>
  <c r="Q168" i="26"/>
  <c r="Q169" i="26"/>
  <c r="Q170" i="26"/>
  <c r="Q171" i="26"/>
  <c r="Q2" i="26"/>
  <c r="P3" i="26"/>
  <c r="P4" i="26"/>
  <c r="P5" i="26"/>
  <c r="P6" i="26"/>
  <c r="P7" i="26"/>
  <c r="P8" i="26"/>
  <c r="P9" i="26"/>
  <c r="P10" i="26"/>
  <c r="P11" i="26"/>
  <c r="P12" i="26"/>
  <c r="P13" i="26"/>
  <c r="P14" i="26"/>
  <c r="P15" i="26"/>
  <c r="P16" i="26"/>
  <c r="P17" i="26"/>
  <c r="P18" i="26"/>
  <c r="P19" i="26"/>
  <c r="P20" i="26"/>
  <c r="P21" i="26"/>
  <c r="P22" i="26"/>
  <c r="P23" i="26"/>
  <c r="P24" i="26"/>
  <c r="P25" i="26"/>
  <c r="P26" i="26"/>
  <c r="P27" i="26"/>
  <c r="P28" i="26"/>
  <c r="P29" i="26"/>
  <c r="P30" i="26"/>
  <c r="P31" i="26"/>
  <c r="P32" i="26"/>
  <c r="P33" i="26"/>
  <c r="P34" i="26"/>
  <c r="P35" i="26"/>
  <c r="P70" i="26"/>
  <c r="P71" i="26"/>
  <c r="P72" i="26"/>
  <c r="P73" i="26"/>
  <c r="P74" i="26"/>
  <c r="P75" i="26"/>
  <c r="P76" i="26"/>
  <c r="P77" i="26"/>
  <c r="P78" i="26"/>
  <c r="P79" i="26"/>
  <c r="P80" i="26"/>
  <c r="P81" i="26"/>
  <c r="P82" i="26"/>
  <c r="P83" i="26"/>
  <c r="P84" i="26"/>
  <c r="P85" i="26"/>
  <c r="P86" i="26"/>
  <c r="P87" i="26"/>
  <c r="P88" i="26"/>
  <c r="P89" i="26"/>
  <c r="P90" i="26"/>
  <c r="P91" i="26"/>
  <c r="P92" i="26"/>
  <c r="P93" i="26"/>
  <c r="P94" i="26"/>
  <c r="P95" i="26"/>
  <c r="P96" i="26"/>
  <c r="P97" i="26"/>
  <c r="P98" i="26"/>
  <c r="P99" i="26"/>
  <c r="P100" i="26"/>
  <c r="P101" i="26"/>
  <c r="P102" i="26"/>
  <c r="P103" i="26"/>
  <c r="P104" i="26"/>
  <c r="P105" i="26"/>
  <c r="P106" i="26"/>
  <c r="P107" i="26"/>
  <c r="P108" i="26"/>
  <c r="P109" i="26"/>
  <c r="P110" i="26"/>
  <c r="P111" i="26"/>
  <c r="P112" i="26"/>
  <c r="P113" i="26"/>
  <c r="P114" i="26"/>
  <c r="P115" i="26"/>
  <c r="P116" i="26"/>
  <c r="P117" i="26"/>
  <c r="P118" i="26"/>
  <c r="P119" i="26"/>
  <c r="P120" i="26"/>
  <c r="P121" i="26"/>
  <c r="P122" i="26"/>
  <c r="P123" i="26"/>
  <c r="P124" i="26"/>
  <c r="P125" i="26"/>
  <c r="P126" i="26"/>
  <c r="P127" i="26"/>
  <c r="P128" i="26"/>
  <c r="P129" i="26"/>
  <c r="P130" i="26"/>
  <c r="P131" i="26"/>
  <c r="P132" i="26"/>
  <c r="P133" i="26"/>
  <c r="P134" i="26"/>
  <c r="P135" i="26"/>
  <c r="P136" i="26"/>
  <c r="P137" i="26"/>
  <c r="P138" i="26"/>
  <c r="P139" i="26"/>
  <c r="P140" i="26"/>
  <c r="P141" i="26"/>
  <c r="P142" i="26"/>
  <c r="P143" i="26"/>
  <c r="P144" i="26"/>
  <c r="P145" i="26"/>
  <c r="P146" i="26"/>
  <c r="P147" i="26"/>
  <c r="P148" i="26"/>
  <c r="P149" i="26"/>
  <c r="P150" i="26"/>
  <c r="P151" i="26"/>
  <c r="P152" i="26"/>
  <c r="P153" i="26"/>
  <c r="P154" i="26"/>
  <c r="P155" i="26"/>
  <c r="P156" i="26"/>
  <c r="P157" i="26"/>
  <c r="P158" i="26"/>
  <c r="P159" i="26"/>
  <c r="P160" i="26"/>
  <c r="P161" i="26"/>
  <c r="P162" i="26"/>
  <c r="P163" i="26"/>
  <c r="P164" i="26"/>
  <c r="P165" i="26"/>
  <c r="P166" i="26"/>
  <c r="P167" i="26"/>
  <c r="P168" i="26"/>
  <c r="P169" i="26"/>
  <c r="P170" i="26"/>
  <c r="P171" i="26"/>
  <c r="P2" i="26"/>
  <c r="A3" i="26"/>
  <c r="A4" i="26"/>
  <c r="A5" i="26"/>
  <c r="A6" i="26"/>
  <c r="A7" i="26"/>
  <c r="A8" i="26"/>
  <c r="A9" i="26"/>
  <c r="A10" i="26"/>
  <c r="A11" i="26"/>
  <c r="A12" i="26"/>
  <c r="A13" i="26"/>
  <c r="A14" i="26"/>
  <c r="A15" i="26"/>
  <c r="A16" i="26"/>
  <c r="A17" i="26"/>
  <c r="A18" i="26"/>
  <c r="A19" i="26"/>
  <c r="A20" i="26"/>
  <c r="A21" i="26"/>
  <c r="A22" i="26"/>
  <c r="A23" i="26"/>
  <c r="A24" i="26"/>
  <c r="A25" i="26"/>
  <c r="A26" i="26"/>
  <c r="A27" i="26"/>
  <c r="A28" i="26"/>
  <c r="A29" i="26"/>
  <c r="A30" i="26"/>
  <c r="A31" i="26"/>
  <c r="A32" i="26"/>
  <c r="A33" i="26"/>
  <c r="A34" i="26"/>
  <c r="A35" i="26"/>
  <c r="A36" i="26"/>
  <c r="A37" i="26"/>
  <c r="A38" i="26"/>
  <c r="A39" i="26"/>
  <c r="A40" i="26"/>
  <c r="A41" i="26"/>
  <c r="A42" i="26"/>
  <c r="A43" i="26"/>
  <c r="A44" i="26"/>
  <c r="A45" i="26"/>
  <c r="A46" i="26"/>
  <c r="A47" i="26"/>
  <c r="A48" i="26"/>
  <c r="A49" i="26"/>
  <c r="A50" i="26"/>
  <c r="A51" i="26"/>
  <c r="A52" i="26"/>
  <c r="A53" i="26"/>
  <c r="A54" i="26"/>
  <c r="A55" i="26"/>
  <c r="A56" i="26"/>
  <c r="A57" i="26"/>
  <c r="A58" i="26"/>
  <c r="A59" i="26"/>
  <c r="A60" i="26"/>
  <c r="A61" i="26"/>
  <c r="A62" i="26"/>
  <c r="A63" i="26"/>
  <c r="A64" i="26"/>
  <c r="A65" i="26"/>
  <c r="A66" i="26"/>
  <c r="A67" i="26"/>
  <c r="A68" i="26"/>
  <c r="A69" i="26"/>
  <c r="A70" i="26"/>
  <c r="A71" i="26"/>
  <c r="A72" i="26"/>
  <c r="A73" i="26"/>
  <c r="A74" i="26"/>
  <c r="A75" i="26"/>
  <c r="A76" i="26"/>
  <c r="A77" i="26"/>
  <c r="A78" i="26"/>
  <c r="A79" i="26"/>
  <c r="A80" i="26"/>
  <c r="A81" i="26"/>
  <c r="A82" i="26"/>
  <c r="A83" i="26"/>
  <c r="A84" i="26"/>
  <c r="A85" i="26"/>
  <c r="A86" i="26"/>
  <c r="A87" i="26"/>
  <c r="A88" i="26"/>
  <c r="A89" i="26"/>
  <c r="A90" i="26"/>
  <c r="A91" i="26"/>
  <c r="A92" i="26"/>
  <c r="A93" i="26"/>
  <c r="A94" i="26"/>
  <c r="A95" i="26"/>
  <c r="A96" i="26"/>
  <c r="A97" i="26"/>
  <c r="A98" i="26"/>
  <c r="A99" i="26"/>
  <c r="A100" i="26"/>
  <c r="A101" i="26"/>
  <c r="A102" i="26"/>
  <c r="A103" i="26"/>
  <c r="A104" i="26"/>
  <c r="A105" i="26"/>
  <c r="A106" i="26"/>
  <c r="A107" i="26"/>
  <c r="A108" i="26"/>
  <c r="A109" i="26"/>
  <c r="A110" i="26"/>
  <c r="A111" i="26"/>
  <c r="A112" i="26"/>
  <c r="A113" i="26"/>
  <c r="A114" i="26"/>
  <c r="A115" i="26"/>
  <c r="A116" i="26"/>
  <c r="A117" i="26"/>
  <c r="A118" i="26"/>
  <c r="A119" i="26"/>
  <c r="A120" i="26"/>
  <c r="A121" i="26"/>
  <c r="A122" i="26"/>
  <c r="A123" i="26"/>
  <c r="A124" i="26"/>
  <c r="A125" i="26"/>
  <c r="A126" i="26"/>
  <c r="A127" i="26"/>
  <c r="A128" i="26"/>
  <c r="A129" i="26"/>
  <c r="A130" i="26"/>
  <c r="A131" i="26"/>
  <c r="A132" i="26"/>
  <c r="A133" i="26"/>
  <c r="A134" i="26"/>
  <c r="A135" i="26"/>
  <c r="A136" i="26"/>
  <c r="A137" i="26"/>
  <c r="A138" i="26"/>
  <c r="A139" i="26"/>
  <c r="A140" i="26"/>
  <c r="A141" i="26"/>
  <c r="A142" i="26"/>
  <c r="A143" i="26"/>
  <c r="A144" i="26"/>
  <c r="A145" i="26"/>
  <c r="A146" i="26"/>
  <c r="A147" i="26"/>
  <c r="A148" i="26"/>
  <c r="A149" i="26"/>
  <c r="A150" i="26"/>
  <c r="A151" i="26"/>
  <c r="A152" i="26"/>
  <c r="A153" i="26"/>
  <c r="A154" i="26"/>
  <c r="A155" i="26"/>
  <c r="A156" i="26"/>
  <c r="A157" i="26"/>
  <c r="A158" i="26"/>
  <c r="A159" i="26"/>
  <c r="A160" i="26"/>
  <c r="A161" i="26"/>
  <c r="A162" i="26"/>
  <c r="A163" i="26"/>
  <c r="A164" i="26"/>
  <c r="A165" i="26"/>
  <c r="A166" i="26"/>
  <c r="A167" i="26"/>
  <c r="A168" i="26"/>
  <c r="A169" i="26"/>
  <c r="A170" i="26"/>
  <c r="A171" i="26"/>
  <c r="A2" i="26"/>
  <c r="Q3" i="1" l="1"/>
  <c r="Q4" i="1"/>
  <c r="Q5" i="1"/>
  <c r="Q6" i="1"/>
  <c r="Q7" i="1"/>
  <c r="Q8" i="1"/>
  <c r="R8" i="1" s="1"/>
  <c r="Q9" i="1"/>
  <c r="R9" i="1" s="1"/>
  <c r="Q10" i="1"/>
  <c r="Q11" i="1"/>
  <c r="Q12" i="1"/>
  <c r="Q13" i="1"/>
  <c r="Q14" i="1"/>
  <c r="Q15" i="1"/>
  <c r="Q16" i="1"/>
  <c r="R16" i="1" s="1"/>
  <c r="Q17" i="1"/>
  <c r="R17" i="1" s="1"/>
  <c r="Q18" i="1"/>
  <c r="Q19" i="1"/>
  <c r="Q20" i="1"/>
  <c r="Q21" i="1"/>
  <c r="Q22" i="1"/>
  <c r="Q23" i="1"/>
  <c r="Q24" i="1"/>
  <c r="R24" i="1" s="1"/>
  <c r="Q25" i="1"/>
  <c r="R25" i="1" s="1"/>
  <c r="Q26" i="1"/>
  <c r="Q27" i="1"/>
  <c r="Q28" i="1"/>
  <c r="Q29" i="1"/>
  <c r="Q30" i="1"/>
  <c r="Q31" i="1"/>
  <c r="Q32" i="1"/>
  <c r="R32" i="1" s="1"/>
  <c r="Q33" i="1"/>
  <c r="R33" i="1" s="1"/>
  <c r="Q34" i="1"/>
  <c r="Q35" i="1"/>
  <c r="Q36" i="1"/>
  <c r="Q37" i="1"/>
  <c r="Q38" i="1"/>
  <c r="Q39" i="1"/>
  <c r="Q40" i="1"/>
  <c r="R40" i="1" s="1"/>
  <c r="Q41" i="1"/>
  <c r="R41" i="1" s="1"/>
  <c r="Q42" i="1"/>
  <c r="Q43" i="1"/>
  <c r="Q44" i="1"/>
  <c r="Q45" i="1"/>
  <c r="Q46" i="1"/>
  <c r="Q47" i="1"/>
  <c r="Q48" i="1"/>
  <c r="R48" i="1" s="1"/>
  <c r="Q49" i="1"/>
  <c r="R49" i="1" s="1"/>
  <c r="Q50" i="1"/>
  <c r="Q51" i="1"/>
  <c r="Q52" i="1"/>
  <c r="Q53" i="1"/>
  <c r="Q54" i="1"/>
  <c r="Q55" i="1"/>
  <c r="Q56" i="1"/>
  <c r="R56" i="1" s="1"/>
  <c r="Q57" i="1"/>
  <c r="R57" i="1" s="1"/>
  <c r="Q58" i="1"/>
  <c r="Q59" i="1"/>
  <c r="Q60" i="1"/>
  <c r="Q61" i="1"/>
  <c r="Q62" i="1"/>
  <c r="Q63" i="1"/>
  <c r="Q64" i="1"/>
  <c r="R64" i="1" s="1"/>
  <c r="Q65" i="1"/>
  <c r="R65" i="1" s="1"/>
  <c r="Q66" i="1"/>
  <c r="Q67" i="1"/>
  <c r="Q68" i="1"/>
  <c r="Q69" i="1"/>
  <c r="Q70" i="1"/>
  <c r="Q71" i="1"/>
  <c r="Q72" i="1"/>
  <c r="R72" i="1" s="1"/>
  <c r="Q73" i="1"/>
  <c r="R73" i="1" s="1"/>
  <c r="Q74" i="1"/>
  <c r="Q75" i="1"/>
  <c r="Q76" i="1"/>
  <c r="Q77" i="1"/>
  <c r="Q78" i="1"/>
  <c r="Q79" i="1"/>
  <c r="Q80" i="1"/>
  <c r="R80" i="1" s="1"/>
  <c r="Q81" i="1"/>
  <c r="R81" i="1" s="1"/>
  <c r="Q82" i="1"/>
  <c r="Q83" i="1"/>
  <c r="Q84" i="1"/>
  <c r="Q85" i="1"/>
  <c r="Q86" i="1"/>
  <c r="Q87" i="1"/>
  <c r="Q88" i="1"/>
  <c r="R88" i="1" s="1"/>
  <c r="Q89" i="1"/>
  <c r="R89" i="1" s="1"/>
  <c r="Q90" i="1"/>
  <c r="Q91" i="1"/>
  <c r="Q92" i="1"/>
  <c r="Q93" i="1"/>
  <c r="Q94" i="1"/>
  <c r="Q95" i="1"/>
  <c r="Q96" i="1"/>
  <c r="R96" i="1" s="1"/>
  <c r="Q97" i="1"/>
  <c r="R97" i="1" s="1"/>
  <c r="Q98" i="1"/>
  <c r="Q99" i="1"/>
  <c r="Q100" i="1"/>
  <c r="Q101" i="1"/>
  <c r="Q102" i="1"/>
  <c r="Q103" i="1"/>
  <c r="Q104" i="1"/>
  <c r="R104" i="1" s="1"/>
  <c r="Q105" i="1"/>
  <c r="R105" i="1" s="1"/>
  <c r="Q106" i="1"/>
  <c r="Q107" i="1"/>
  <c r="Q108" i="1"/>
  <c r="Q109" i="1"/>
  <c r="Q110" i="1"/>
  <c r="Q111" i="1"/>
  <c r="Q112" i="1"/>
  <c r="R112" i="1" s="1"/>
  <c r="Q113" i="1"/>
  <c r="R113" i="1" s="1"/>
  <c r="Q114" i="1"/>
  <c r="Q115" i="1"/>
  <c r="Q116" i="1"/>
  <c r="Q117" i="1"/>
  <c r="R117" i="1" s="1"/>
  <c r="Q118" i="1"/>
  <c r="Q119" i="1"/>
  <c r="Q120" i="1"/>
  <c r="R120" i="1" s="1"/>
  <c r="Q121" i="1"/>
  <c r="R121" i="1" s="1"/>
  <c r="Q122" i="1"/>
  <c r="Q123" i="1"/>
  <c r="Q124" i="1"/>
  <c r="Q125" i="1"/>
  <c r="Q126" i="1"/>
  <c r="Q127" i="1"/>
  <c r="Q128" i="1"/>
  <c r="R128" i="1" s="1"/>
  <c r="Q129" i="1"/>
  <c r="R129" i="1" s="1"/>
  <c r="Q130" i="1"/>
  <c r="Q131" i="1"/>
  <c r="Q132" i="1"/>
  <c r="Q133" i="1"/>
  <c r="R133" i="1" s="1"/>
  <c r="Q134" i="1"/>
  <c r="Q135" i="1"/>
  <c r="Q136" i="1"/>
  <c r="R136" i="1" s="1"/>
  <c r="Q137" i="1"/>
  <c r="R137" i="1" s="1"/>
  <c r="Q138" i="1"/>
  <c r="Q139" i="1"/>
  <c r="Q140" i="1"/>
  <c r="Q141" i="1"/>
  <c r="R141" i="1" s="1"/>
  <c r="Q142" i="1"/>
  <c r="Q143" i="1"/>
  <c r="Q144" i="1"/>
  <c r="R144" i="1" s="1"/>
  <c r="Q145" i="1"/>
  <c r="R145" i="1" s="1"/>
  <c r="Q146" i="1"/>
  <c r="Q147" i="1"/>
  <c r="Q148" i="1"/>
  <c r="Q149" i="1"/>
  <c r="R149" i="1" s="1"/>
  <c r="Q150" i="1"/>
  <c r="Q151" i="1"/>
  <c r="Q152" i="1"/>
  <c r="R152" i="1" s="1"/>
  <c r="Q153" i="1"/>
  <c r="R153" i="1" s="1"/>
  <c r="Q154" i="1"/>
  <c r="Q155" i="1"/>
  <c r="Q156" i="1"/>
  <c r="Q157" i="1"/>
  <c r="R157" i="1" s="1"/>
  <c r="Q158" i="1"/>
  <c r="Q159" i="1"/>
  <c r="Q160" i="1"/>
  <c r="R160" i="1" s="1"/>
  <c r="Q161" i="1"/>
  <c r="R161" i="1" s="1"/>
  <c r="Q162" i="1"/>
  <c r="Q163" i="1"/>
  <c r="Q164" i="1"/>
  <c r="Q165" i="1"/>
  <c r="R165" i="1" s="1"/>
  <c r="Q166" i="1"/>
  <c r="Q167" i="1"/>
  <c r="Q168" i="1"/>
  <c r="R168" i="1" s="1"/>
  <c r="Q169" i="1"/>
  <c r="R169" i="1" s="1"/>
  <c r="Q170" i="1"/>
  <c r="Q171" i="1"/>
  <c r="Q2" i="1"/>
  <c r="R2" i="1" s="1"/>
  <c r="R3" i="1"/>
  <c r="R4" i="1"/>
  <c r="R5" i="1"/>
  <c r="R6" i="1"/>
  <c r="R7" i="1"/>
  <c r="R10" i="1"/>
  <c r="R11" i="1"/>
  <c r="R12" i="1"/>
  <c r="R13" i="1"/>
  <c r="R14" i="1"/>
  <c r="R15" i="1"/>
  <c r="R18" i="1"/>
  <c r="R19" i="1"/>
  <c r="R20" i="1"/>
  <c r="R21" i="1"/>
  <c r="R22" i="1"/>
  <c r="R23" i="1"/>
  <c r="R26" i="1"/>
  <c r="R27" i="1"/>
  <c r="R28" i="1"/>
  <c r="R29" i="1"/>
  <c r="R30" i="1"/>
  <c r="R31" i="1"/>
  <c r="R34" i="1"/>
  <c r="R35" i="1"/>
  <c r="R36" i="1"/>
  <c r="R37" i="1"/>
  <c r="R38" i="1"/>
  <c r="R39" i="1"/>
  <c r="R42" i="1"/>
  <c r="R43" i="1"/>
  <c r="R44" i="1"/>
  <c r="R45" i="1"/>
  <c r="R46" i="1"/>
  <c r="R47" i="1"/>
  <c r="R50" i="1"/>
  <c r="R51" i="1"/>
  <c r="R52" i="1"/>
  <c r="R53" i="1"/>
  <c r="R54" i="1"/>
  <c r="R55" i="1"/>
  <c r="R58" i="1"/>
  <c r="R59" i="1"/>
  <c r="R60" i="1"/>
  <c r="R61" i="1"/>
  <c r="R62" i="1"/>
  <c r="R63" i="1"/>
  <c r="R66" i="1"/>
  <c r="R67" i="1"/>
  <c r="R68" i="1"/>
  <c r="R69" i="1"/>
  <c r="R70" i="1"/>
  <c r="R71" i="1"/>
  <c r="R74" i="1"/>
  <c r="R75" i="1"/>
  <c r="R76" i="1"/>
  <c r="R77" i="1"/>
  <c r="R78" i="1"/>
  <c r="R79" i="1"/>
  <c r="R82" i="1"/>
  <c r="R83" i="1"/>
  <c r="R84" i="1"/>
  <c r="R85" i="1"/>
  <c r="R86" i="1"/>
  <c r="R87" i="1"/>
  <c r="R90" i="1"/>
  <c r="R91" i="1"/>
  <c r="R92" i="1"/>
  <c r="R93" i="1"/>
  <c r="R94" i="1"/>
  <c r="R95" i="1"/>
  <c r="R98" i="1"/>
  <c r="R99" i="1"/>
  <c r="R100" i="1"/>
  <c r="R101" i="1"/>
  <c r="R102" i="1"/>
  <c r="R103" i="1"/>
  <c r="R106" i="1"/>
  <c r="R107" i="1"/>
  <c r="R108" i="1"/>
  <c r="R109" i="1"/>
  <c r="R110" i="1"/>
  <c r="R111" i="1"/>
  <c r="R114" i="1"/>
  <c r="R115" i="1"/>
  <c r="R116" i="1"/>
  <c r="R118" i="1"/>
  <c r="R119" i="1"/>
  <c r="R122" i="1"/>
  <c r="R123" i="1"/>
  <c r="R124" i="1"/>
  <c r="R125" i="1"/>
  <c r="R126" i="1"/>
  <c r="R127" i="1"/>
  <c r="R130" i="1"/>
  <c r="R131" i="1"/>
  <c r="R132" i="1"/>
  <c r="R134" i="1"/>
  <c r="R135" i="1"/>
  <c r="R138" i="1"/>
  <c r="R139" i="1"/>
  <c r="R140" i="1"/>
  <c r="R142" i="1"/>
  <c r="R143" i="1"/>
  <c r="R146" i="1"/>
  <c r="R147" i="1"/>
  <c r="R148" i="1"/>
  <c r="R150" i="1"/>
  <c r="R151" i="1"/>
  <c r="R154" i="1"/>
  <c r="R155" i="1"/>
  <c r="R156" i="1"/>
  <c r="R158" i="1"/>
  <c r="R159" i="1"/>
  <c r="R162" i="1"/>
  <c r="R163" i="1"/>
  <c r="R164" i="1"/>
  <c r="R166" i="1"/>
  <c r="R167" i="1"/>
  <c r="R170" i="1"/>
  <c r="R171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2" i="1"/>
</calcChain>
</file>

<file path=xl/sharedStrings.xml><?xml version="1.0" encoding="utf-8"?>
<sst xmlns="http://schemas.openxmlformats.org/spreadsheetml/2006/main" count="1446" uniqueCount="252">
  <si>
    <t>Benchmarks</t>
  </si>
  <si>
    <t>system.cpu.cpi</t>
  </si>
  <si>
    <t>system.cpu.dcache.overall_miss_rate::total</t>
  </si>
  <si>
    <t>system.cpu.icache.overall_miss_rate::total</t>
  </si>
  <si>
    <t>system.l2.overall_miss_rate::total</t>
  </si>
  <si>
    <t>./specbzip/cacheline.128</t>
  </si>
  <si>
    <t>./specbzip/cacheline.32</t>
  </si>
  <si>
    <t>./specbzip/cacheline.64</t>
  </si>
  <si>
    <t>./specbzip/cpu_clock.1GHz</t>
  </si>
  <si>
    <t>./specbzip/l1d.128kB_l1i.128kB</t>
  </si>
  <si>
    <t>./specbzip/l1d.128kB_l1i.16kB</t>
  </si>
  <si>
    <t>./specbzip/l1d.128kB_l1i.32kB</t>
  </si>
  <si>
    <t>./specbzip/l1d.128kB_l1i.64kB</t>
  </si>
  <si>
    <t>./specbzip/l1d.16kB_l1i.128kB</t>
  </si>
  <si>
    <t>./specbzip/l1d.16kB_l1i.16kB</t>
  </si>
  <si>
    <t>./specbzip/l1d.16kB_l1i.32kB</t>
  </si>
  <si>
    <t>./specbzip/l1d.16kB_l1i.64kB</t>
  </si>
  <si>
    <t>./specbzip/l1d.32kB_l1i.128kB</t>
  </si>
  <si>
    <t>./specbzip/l1d.32kB_l1i.16kB</t>
  </si>
  <si>
    <t>./specbzip/l1d.32kB_l1i.32kB</t>
  </si>
  <si>
    <t>./specbzip/l1d.32kB_l1i.64kB</t>
  </si>
  <si>
    <t>./specbzip/l1d.64kB_l1i.128kB</t>
  </si>
  <si>
    <t>./specbzip/l1d.64kB_l1i.16kB</t>
  </si>
  <si>
    <t>./specbzip/l1d.64kB_l1i.32kB</t>
  </si>
  <si>
    <t>./specbzip/l1d.64kB_l1i.64kB</t>
  </si>
  <si>
    <t>./specbzip/l1d_assoc.1</t>
  </si>
  <si>
    <t>./specbzip/l1d_assoc.2</t>
  </si>
  <si>
    <t>./specbzip/l1d_assoc.4</t>
  </si>
  <si>
    <t>./specbzip/l1i_assoc.1</t>
  </si>
  <si>
    <t>./specbzip/l1i_assoc.2</t>
  </si>
  <si>
    <t>./specbzip/l1i_assoc.4</t>
  </si>
  <si>
    <t>./specbzip/l2d_assoc.1</t>
  </si>
  <si>
    <t>./specbzip/l2d_assoc.2</t>
  </si>
  <si>
    <t>./specbzip/l2d_assoc.4</t>
  </si>
  <si>
    <t>./specbzip/l2_size.1MB</t>
  </si>
  <si>
    <t>./specbzip/l2_size.256kB</t>
  </si>
  <si>
    <t>./specbzip/l2_size.2MB</t>
  </si>
  <si>
    <t>./specbzip/l2_size.4MB</t>
  </si>
  <si>
    <t>./specbzip/l2_size.512kB</t>
  </si>
  <si>
    <t>./spechmmer/cacheline.128</t>
  </si>
  <si>
    <t>./spechmmer/cacheline.32</t>
  </si>
  <si>
    <t>./spechmmer/cacheline.64</t>
  </si>
  <si>
    <t>./spechmmer/cpu_clock.1GHz</t>
  </si>
  <si>
    <t>./spechmmer/l1d.128kB_l1i.128kB</t>
  </si>
  <si>
    <t>./spechmmer/l1d.128kB_l1i.16kB</t>
  </si>
  <si>
    <t>./spechmmer/l1d.128kB_l1i.32kB</t>
  </si>
  <si>
    <t>./spechmmer/l1d.128kB_l1i.64kB</t>
  </si>
  <si>
    <t>./spechmmer/l1d.16kB_l1i.128kB</t>
  </si>
  <si>
    <t>./spechmmer/l1d.16kB_l1i.16kB</t>
  </si>
  <si>
    <t>./spechmmer/l1d.16kB_l1i.32kB</t>
  </si>
  <si>
    <t>./spechmmer/l1d.16kB_l1i.64kB</t>
  </si>
  <si>
    <t>./spechmmer/l1d.32kB_l1i.128kB</t>
  </si>
  <si>
    <t>./spechmmer/l1d.32kB_l1i.16kB</t>
  </si>
  <si>
    <t>./spechmmer/l1d.32kB_l1i.32kB</t>
  </si>
  <si>
    <t>./spechmmer/l1d.32kB_l1i.64kB</t>
  </si>
  <si>
    <t>./spechmmer/l1d.64kB_l1i.128kB</t>
  </si>
  <si>
    <t>./spechmmer/l1d.64kB_l1i.16kB</t>
  </si>
  <si>
    <t>./spechmmer/l1d.64kB_l1i.32kB</t>
  </si>
  <si>
    <t>./spechmmer/l1d.64kB_l1i.64kB</t>
  </si>
  <si>
    <t>./spechmmer/l1d_assoc.1</t>
  </si>
  <si>
    <t>./spechmmer/l1d_assoc.2</t>
  </si>
  <si>
    <t>./spechmmer/l1d_assoc.4</t>
  </si>
  <si>
    <t>./spechmmer/l1i_assoc.1</t>
  </si>
  <si>
    <t>./spechmmer/l1i_assoc.2</t>
  </si>
  <si>
    <t>./spechmmer/l1i_assoc.4</t>
  </si>
  <si>
    <t>./spechmmer/l2d_assoc.1</t>
  </si>
  <si>
    <t>./spechmmer/l2d_assoc.2</t>
  </si>
  <si>
    <t>./spechmmer/l2d_assoc.4</t>
  </si>
  <si>
    <t>./spechmmer/l2_size.1MB</t>
  </si>
  <si>
    <t>./spechmmer/l2_size.256kB</t>
  </si>
  <si>
    <t>./spechmmer/l2_size.2MB</t>
  </si>
  <si>
    <t>./spechmmer/l2_size.4MB</t>
  </si>
  <si>
    <t>./spechmmer/l2_size.512kB</t>
  </si>
  <si>
    <t>./speclibm/cacheline.128</t>
  </si>
  <si>
    <t>./speclibm/cacheline.32</t>
  </si>
  <si>
    <t>./speclibm/cacheline.64</t>
  </si>
  <si>
    <t>./speclibm/cpu_clock.1GHz</t>
  </si>
  <si>
    <t>./speclibm/l1d.128kB_l1i.128kB</t>
  </si>
  <si>
    <t>./speclibm/l1d.128kB_l1i.16kB</t>
  </si>
  <si>
    <t>./speclibm/l1d.128kB_l1i.32kB</t>
  </si>
  <si>
    <t>./speclibm/l1d.128kB_l1i.64kB</t>
  </si>
  <si>
    <t>./speclibm/l1d.16kB_l1i.128kB</t>
  </si>
  <si>
    <t>./speclibm/l1d.16kB_l1i.16kB</t>
  </si>
  <si>
    <t>./speclibm/l1d.16kB_l1i.32kB</t>
  </si>
  <si>
    <t>./speclibm/l1d.16kB_l1i.64kB</t>
  </si>
  <si>
    <t>./speclibm/l1d.32kB_l1i.128kB</t>
  </si>
  <si>
    <t>./speclibm/l1d.32kB_l1i.16kB</t>
  </si>
  <si>
    <t>./speclibm/l1d.32kB_l1i.32kB</t>
  </si>
  <si>
    <t>./speclibm/l1d.32kB_l1i.64kB</t>
  </si>
  <si>
    <t>./speclibm/l1d.64kB_l1i.128kB</t>
  </si>
  <si>
    <t>./speclibm/l1d.64kB_l1i.16kB</t>
  </si>
  <si>
    <t>./speclibm/l1d.64kB_l1i.32kB</t>
  </si>
  <si>
    <t>./speclibm/l1d.64kB_l1i.64kB</t>
  </si>
  <si>
    <t>./speclibm/l1d_assoc.1</t>
  </si>
  <si>
    <t>./speclibm/l1d_assoc.2</t>
  </si>
  <si>
    <t>./speclibm/l1d_assoc.4</t>
  </si>
  <si>
    <t>./speclibm/l1i_assoc.1</t>
  </si>
  <si>
    <t>./speclibm/l1i_assoc.2</t>
  </si>
  <si>
    <t>./speclibm/l1i_assoc.4</t>
  </si>
  <si>
    <t>./speclibm/l2d_assoc.1</t>
  </si>
  <si>
    <t>./speclibm/l2d_assoc.2</t>
  </si>
  <si>
    <t>./speclibm/l2d_assoc.4</t>
  </si>
  <si>
    <t>./speclibm/l2_size.1MB</t>
  </si>
  <si>
    <t>./speclibm/l2_size.256kB</t>
  </si>
  <si>
    <t>./speclibm/l2_size.2MB</t>
  </si>
  <si>
    <t>./speclibm/l2_size.4MB</t>
  </si>
  <si>
    <t>./speclibm/l2_size.512kB</t>
  </si>
  <si>
    <t>./specmcf/cacheline.128</t>
  </si>
  <si>
    <t>./specmcf/cacheline.32</t>
  </si>
  <si>
    <t>./specmcf/cacheline.64</t>
  </si>
  <si>
    <t>./specmcf/cpu_clock.1GHz</t>
  </si>
  <si>
    <t>./specmcf/l1d.128kB_l1i.128kB</t>
  </si>
  <si>
    <t>./specmcf/l1d.128kB_l1i.16kB</t>
  </si>
  <si>
    <t>./specmcf/l1d.128kB_l1i.32kB</t>
  </si>
  <si>
    <t>./specmcf/l1d.128kB_l1i.64kB</t>
  </si>
  <si>
    <t>./specmcf/l1d.16kB_l1i.128kB</t>
  </si>
  <si>
    <t>./specmcf/l1d.16kB_l1i.16kB</t>
  </si>
  <si>
    <t>./specmcf/l1d.16kB_l1i.32kB</t>
  </si>
  <si>
    <t>./specmcf/l1d.16kB_l1i.64kB</t>
  </si>
  <si>
    <t>./specmcf/l1d.32kB_l1i.128kB</t>
  </si>
  <si>
    <t>./specmcf/l1d.32kB_l1i.16kB</t>
  </si>
  <si>
    <t>./specmcf/l1d.32kB_l1i.32kB</t>
  </si>
  <si>
    <t>./specmcf/l1d.32kB_l1i.64kB</t>
  </si>
  <si>
    <t>./specmcf/l1d.64kB_l1i.128kB</t>
  </si>
  <si>
    <t>./specmcf/l1d.64kB_l1i.16kB</t>
  </si>
  <si>
    <t>./specmcf/l1d.64kB_l1i.32kB</t>
  </si>
  <si>
    <t>./specmcf/l1d.64kB_l1i.64kB</t>
  </si>
  <si>
    <t>./specmcf/l1d_assoc.1</t>
  </si>
  <si>
    <t>./specmcf/l1d_assoc.2</t>
  </si>
  <si>
    <t>./specmcf/l1d_assoc.4</t>
  </si>
  <si>
    <t>./specmcf/l1i_assoc.1</t>
  </si>
  <si>
    <t>./specmcf/l1i_assoc.2</t>
  </si>
  <si>
    <t>./specmcf/l1i_assoc.4</t>
  </si>
  <si>
    <t>./specmcf/l2d_assoc.1</t>
  </si>
  <si>
    <t>./specmcf/l2d_assoc.2</t>
  </si>
  <si>
    <t>./specmcf/l2d_assoc.4</t>
  </si>
  <si>
    <t>./specmcf/l2_size.1MB</t>
  </si>
  <si>
    <t>./specmcf/l2_size.256kB</t>
  </si>
  <si>
    <t>./specmcf/l2_size.2MB</t>
  </si>
  <si>
    <t>./specmcf/l2_size.4MB</t>
  </si>
  <si>
    <t>./specmcf/l2_size.512kB</t>
  </si>
  <si>
    <t>./specsjeng/cacheline.128</t>
  </si>
  <si>
    <t>./specsjeng/cacheline.32</t>
  </si>
  <si>
    <t>./specsjeng/cacheline.64</t>
  </si>
  <si>
    <t>./specsjeng/cpu_clock.1GHz</t>
  </si>
  <si>
    <t>./specsjeng/l1d.128kB_l1i.128kB</t>
  </si>
  <si>
    <t>./specsjeng/l1d.128kB_l1i.16kB</t>
  </si>
  <si>
    <t>./specsjeng/l1d.128kB_l1i.32kB</t>
  </si>
  <si>
    <t>./specsjeng/l1d.128kB_l1i.64kB</t>
  </si>
  <si>
    <t>./specsjeng/l1d.16kB_l1i.128kB</t>
  </si>
  <si>
    <t>./specsjeng/l1d.16kB_l1i.16kB</t>
  </si>
  <si>
    <t>./specsjeng/l1d.16kB_l1i.32kB</t>
  </si>
  <si>
    <t>./specsjeng/l1d.16kB_l1i.64kB</t>
  </si>
  <si>
    <t>./specsjeng/l1d.32kB_l1i.128kB</t>
  </si>
  <si>
    <t>./specsjeng/l1d.32kB_l1i.16kB</t>
  </si>
  <si>
    <t>./specsjeng/l1d.32kB_l1i.32kB</t>
  </si>
  <si>
    <t>./specsjeng/l1d.32kB_l1i.64kB</t>
  </si>
  <si>
    <t>./specsjeng/l1d.64kB_l1i.128kB</t>
  </si>
  <si>
    <t>./specsjeng/l1d.64kB_l1i.16kB</t>
  </si>
  <si>
    <t>./specsjeng/l1d.64kB_l1i.32kB</t>
  </si>
  <si>
    <t>./specsjeng/l1d.64kB_l1i.64kB</t>
  </si>
  <si>
    <t>./specsjeng/l1d_assoc.1</t>
  </si>
  <si>
    <t>./specsjeng/l1d_assoc.2</t>
  </si>
  <si>
    <t>./specsjeng/l1d_assoc.4</t>
  </si>
  <si>
    <t>./specsjeng/l1i_assoc.1</t>
  </si>
  <si>
    <t>./specsjeng/l1i_assoc.2</t>
  </si>
  <si>
    <t>./specsjeng/l1i_assoc.4</t>
  </si>
  <si>
    <t>./specsjeng/l2d_assoc.1</t>
  </si>
  <si>
    <t>./specsjeng/l2d_assoc.2</t>
  </si>
  <si>
    <t>./specsjeng/l2d_assoc.4</t>
  </si>
  <si>
    <t>./specsjeng/l2_size.1MB</t>
  </si>
  <si>
    <t>./specsjeng/l2_size.256kB</t>
  </si>
  <si>
    <t>./specsjeng/l2_size.2MB</t>
  </si>
  <si>
    <t>./specsjeng/l2_size.4MB</t>
  </si>
  <si>
    <t>./specsjeng/l2_size.512kB</t>
  </si>
  <si>
    <t>Benchmark</t>
  </si>
  <si>
    <t>Scenario</t>
  </si>
  <si>
    <t>Cache line</t>
  </si>
  <si>
    <t>Frequency [GHz]</t>
  </si>
  <si>
    <t>L1 Data Size [kB]</t>
  </si>
  <si>
    <t>L1 Instr Size [kB]</t>
  </si>
  <si>
    <t>L1 Data Assoc</t>
  </si>
  <si>
    <t>L1 Instr Assoc</t>
  </si>
  <si>
    <t>L2 Data Assoc</t>
  </si>
  <si>
    <t>L2 Size</t>
  </si>
  <si>
    <t>specbzip</t>
  </si>
  <si>
    <t>spechmmer</t>
  </si>
  <si>
    <t>speclibm</t>
  </si>
  <si>
    <t>specmcf</t>
  </si>
  <si>
    <t>specsjeng</t>
  </si>
  <si>
    <t>Cache Line</t>
  </si>
  <si>
    <t>L1D/L1I Size</t>
  </si>
  <si>
    <t>L1D Associativity</t>
  </si>
  <si>
    <t>L1I Associativity</t>
  </si>
  <si>
    <t>L2D Associativity</t>
  </si>
  <si>
    <t>CPU Frequency</t>
  </si>
  <si>
    <t>L2 Size [kB]</t>
  </si>
  <si>
    <t>Row Labels</t>
  </si>
  <si>
    <t>Grand Total</t>
  </si>
  <si>
    <t>Column Labels</t>
  </si>
  <si>
    <t>([AMAT+CPI/Freq) [ns]</t>
  </si>
  <si>
    <t>COST</t>
  </si>
  <si>
    <t>COST*TIME</t>
  </si>
  <si>
    <t xml:space="preserve">l2_size.256kB </t>
  </si>
  <si>
    <t xml:space="preserve">l2d_assoc.4 </t>
  </si>
  <si>
    <t xml:space="preserve">l1i_assoc.2 </t>
  </si>
  <si>
    <t xml:space="preserve">l1d.64kB_l1i.128kB </t>
  </si>
  <si>
    <t xml:space="preserve">l1d.16kB_l1i.32kB </t>
  </si>
  <si>
    <t xml:space="preserve">cpu_clock.1GHz </t>
  </si>
  <si>
    <t xml:space="preserve">l1d.32kB_l1i.64kB </t>
  </si>
  <si>
    <t xml:space="preserve">l2d_assoc.1 </t>
  </si>
  <si>
    <t xml:space="preserve">l1i_assoc.1 </t>
  </si>
  <si>
    <t xml:space="preserve">l1d.32kB_l1i.32kB </t>
  </si>
  <si>
    <t xml:space="preserve">l1i_assoc.4 </t>
  </si>
  <si>
    <t xml:space="preserve">l1d.128kB_l1i.16kB </t>
  </si>
  <si>
    <t xml:space="preserve">l1d_assoc.2 </t>
  </si>
  <si>
    <t xml:space="preserve">l1d.128kB_l1i.128kB </t>
  </si>
  <si>
    <t xml:space="preserve">l2_size.2MB </t>
  </si>
  <si>
    <t xml:space="preserve">l1d_assoc.1 </t>
  </si>
  <si>
    <t xml:space="preserve">l1d.32kB_l1i.16kB </t>
  </si>
  <si>
    <t xml:space="preserve">l1d.64kB_l1i.32kB </t>
  </si>
  <si>
    <t xml:space="preserve">l1d.64kB_l1i.16kB </t>
  </si>
  <si>
    <t xml:space="preserve">l1d.32kB_l1i.128kB </t>
  </si>
  <si>
    <t xml:space="preserve">l2d_assoc.2 </t>
  </si>
  <si>
    <t xml:space="preserve">l1d_assoc.4 </t>
  </si>
  <si>
    <t xml:space="preserve">cacheline.128 </t>
  </si>
  <si>
    <t xml:space="preserve">l1d.16kB_l1i.16kB </t>
  </si>
  <si>
    <t xml:space="preserve">l2_size.512kB </t>
  </si>
  <si>
    <t xml:space="preserve">cacheline.64 </t>
  </si>
  <si>
    <t xml:space="preserve">l1d.128kB_l1i.32kB </t>
  </si>
  <si>
    <t xml:space="preserve">l1d.16kB_l1i.64kB </t>
  </si>
  <si>
    <t xml:space="preserve">cacheline.32 </t>
  </si>
  <si>
    <t xml:space="preserve">l1d.64kB_l1i.64kB </t>
  </si>
  <si>
    <t xml:space="preserve">l1d.128kB_l1i.64kB </t>
  </si>
  <si>
    <t xml:space="preserve">l2_size.1MB </t>
  </si>
  <si>
    <t xml:space="preserve">l1d.16kB_l1i.128kB </t>
  </si>
  <si>
    <t xml:space="preserve">l2_size.4MB </t>
  </si>
  <si>
    <t>Energy [mJ]</t>
  </si>
  <si>
    <t>Runtime [sec]</t>
  </si>
  <si>
    <t>Scenario name</t>
  </si>
  <si>
    <t>Total Leakage Power [W]</t>
  </si>
  <si>
    <t>Runtime Dynamic [W]</t>
  </si>
  <si>
    <t>Energy Efficiency</t>
  </si>
  <si>
    <t>Total Power [W]</t>
  </si>
  <si>
    <t>Dynamic</t>
  </si>
  <si>
    <t>Leakage</t>
  </si>
  <si>
    <t>Total</t>
  </si>
  <si>
    <t>Peak Power [W]</t>
  </si>
  <si>
    <t>Area [mm²]</t>
  </si>
  <si>
    <t>Peak</t>
  </si>
  <si>
    <t>Average of Area [mm²]</t>
  </si>
  <si>
    <t>Average of Energy Efficiency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</si>
</sst>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charset val="161"/>
      <scheme val="minor"/>
    </font>
    <font>
      <b/>
      <sz val="11"/>
      <color theme="1"/>
      <name val="Calibri"/>
      <family val="2"/>
      <charset val="161"/>
      <scheme val="minor"/>
    </font>
    <font>
      <i/>
      <sz val="11"/>
      <color theme="0" tint="-0.499984740745262"/>
      <name val="Calibri"/>
      <family val="2"/>
      <charset val="161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1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0" fontId="0" fillId="2" borderId="1" xfId="0" applyFill="1" applyBorder="1"/>
    <xf numFmtId="0" fontId="0" fillId="2" borderId="2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6" xfId="0" applyFill="1" applyBorder="1"/>
    <xf numFmtId="0" fontId="0" fillId="2" borderId="7" xfId="0" applyFill="1" applyBorder="1"/>
    <xf numFmtId="0" fontId="0" fillId="3" borderId="0" xfId="0" applyFill="1" applyBorder="1"/>
    <xf numFmtId="0" fontId="1" fillId="2" borderId="1" xfId="0" applyFont="1" applyFill="1" applyBorder="1"/>
    <xf numFmtId="0" fontId="1" fillId="2" borderId="2" xfId="0" applyFont="1" applyFill="1" applyBorder="1"/>
    <xf numFmtId="0" fontId="1" fillId="3" borderId="2" xfId="0" applyFont="1" applyFill="1" applyBorder="1"/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/>
    <xf numFmtId="2" fontId="0" fillId="3" borderId="0" xfId="0" applyNumberFormat="1" applyFill="1" applyBorder="1"/>
    <xf numFmtId="2" fontId="0" fillId="3" borderId="7" xfId="0" applyNumberFormat="1" applyFill="1" applyBorder="1"/>
    <xf numFmtId="2" fontId="0" fillId="3" borderId="2" xfId="0" applyNumberFormat="1" applyFill="1" applyBorder="1"/>
    <xf numFmtId="164" fontId="0" fillId="3" borderId="0" xfId="0" applyNumberFormat="1" applyFill="1" applyBorder="1"/>
    <xf numFmtId="164" fontId="0" fillId="3" borderId="5" xfId="0" applyNumberFormat="1" applyFill="1" applyBorder="1"/>
    <xf numFmtId="164" fontId="0" fillId="3" borderId="7" xfId="0" applyNumberFormat="1" applyFill="1" applyBorder="1"/>
    <xf numFmtId="164" fontId="0" fillId="3" borderId="8" xfId="0" applyNumberFormat="1" applyFill="1" applyBorder="1"/>
    <xf numFmtId="164" fontId="0" fillId="3" borderId="3" xfId="0" applyNumberFormat="1" applyFill="1" applyBorder="1"/>
    <xf numFmtId="164" fontId="0" fillId="0" borderId="0" xfId="0" applyNumberFormat="1"/>
    <xf numFmtId="0" fontId="2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0" borderId="0" xfId="0" applyFont="1" applyAlignment="1">
      <alignment horizontal="center" vertical="center"/>
    </xf>
    <xf numFmtId="0" fontId="0" fillId="3" borderId="3" xfId="0" applyFill="1" applyBorder="1"/>
    <xf numFmtId="0" fontId="0" fillId="3" borderId="5" xfId="0" applyFill="1" applyBorder="1"/>
    <xf numFmtId="0" fontId="0" fillId="3" borderId="8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[data_summary.xlsm]cache w!PivotTable1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'cache w'!$B$4</c:f>
              <c:strCache>
                <c:ptCount val="1"/>
                <c:pt idx="0">
                  <c:v>Dynamic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'cache w'!$A$5:$A$25</c:f>
              <c:multiLvlStrCache>
                <c:ptCount val="15"/>
                <c:lvl>
                  <c:pt idx="0">
                    <c:v>32</c:v>
                  </c:pt>
                  <c:pt idx="1">
                    <c:v>64</c:v>
                  </c:pt>
                  <c:pt idx="2">
                    <c:v>128</c:v>
                  </c:pt>
                  <c:pt idx="3">
                    <c:v>32</c:v>
                  </c:pt>
                  <c:pt idx="4">
                    <c:v>64</c:v>
                  </c:pt>
                  <c:pt idx="5">
                    <c:v>128</c:v>
                  </c:pt>
                  <c:pt idx="6">
                    <c:v>32</c:v>
                  </c:pt>
                  <c:pt idx="7">
                    <c:v>64</c:v>
                  </c:pt>
                  <c:pt idx="8">
                    <c:v>128</c:v>
                  </c:pt>
                  <c:pt idx="9">
                    <c:v>32</c:v>
                  </c:pt>
                  <c:pt idx="10">
                    <c:v>64</c:v>
                  </c:pt>
                  <c:pt idx="11">
                    <c:v>128</c:v>
                  </c:pt>
                  <c:pt idx="12">
                    <c:v>32</c:v>
                  </c:pt>
                  <c:pt idx="13">
                    <c:v>64</c:v>
                  </c:pt>
                  <c:pt idx="14">
                    <c:v>128</c:v>
                  </c:pt>
                </c:lvl>
                <c:lvl>
                  <c:pt idx="0">
                    <c:v>specbzip</c:v>
                  </c:pt>
                  <c:pt idx="3">
                    <c:v>spechmmer</c:v>
                  </c:pt>
                  <c:pt idx="6">
                    <c:v>speclibm</c:v>
                  </c:pt>
                  <c:pt idx="9">
                    <c:v>specmcf</c:v>
                  </c:pt>
                  <c:pt idx="12">
                    <c:v>specsjeng</c:v>
                  </c:pt>
                </c:lvl>
              </c:multiLvlStrCache>
            </c:multiLvlStrRef>
          </c:cat>
          <c:val>
            <c:numRef>
              <c:f>'cache w'!$B$5:$B$25</c:f>
              <c:numCache>
                <c:formatCode>General</c:formatCode>
                <c:ptCount val="15"/>
                <c:pt idx="0">
                  <c:v>0.11261500000000001</c:v>
                </c:pt>
                <c:pt idx="1">
                  <c:v>0.128417</c:v>
                </c:pt>
                <c:pt idx="2">
                  <c:v>0.228792</c:v>
                </c:pt>
                <c:pt idx="3">
                  <c:v>7.4321999999999999E-2</c:v>
                </c:pt>
                <c:pt idx="4">
                  <c:v>8.7855000000000003E-2</c:v>
                </c:pt>
                <c:pt idx="5">
                  <c:v>0.121987</c:v>
                </c:pt>
                <c:pt idx="6">
                  <c:v>9.5982999999999999E-2</c:v>
                </c:pt>
                <c:pt idx="7">
                  <c:v>0.114302</c:v>
                </c:pt>
                <c:pt idx="8">
                  <c:v>0.185393</c:v>
                </c:pt>
                <c:pt idx="9">
                  <c:v>0.1447</c:v>
                </c:pt>
                <c:pt idx="10">
                  <c:v>0.15427099999999999</c:v>
                </c:pt>
                <c:pt idx="11">
                  <c:v>0.19298399999999999</c:v>
                </c:pt>
                <c:pt idx="12">
                  <c:v>0.134912</c:v>
                </c:pt>
                <c:pt idx="13">
                  <c:v>0.14335200000000001</c:v>
                </c:pt>
                <c:pt idx="14">
                  <c:v>0.19983600000000001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15-4859-9A0A-8069F2F3ADE4}"/>
            </c:ext>
          </c:extLst>
        </c:ser>
        <c:ser>
          <c:idx val="1"/>
          <c:order val="1"/>
          <c:tx>
            <c:strRef>
              <c:f>'cache w'!$C$4</c:f>
              <c:strCache>
                <c:ptCount val="1"/>
                <c:pt idx="0">
                  <c:v>Leakage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'cache w'!$A$5:$A$25</c:f>
              <c:multiLvlStrCache>
                <c:ptCount val="15"/>
                <c:lvl>
                  <c:pt idx="0">
                    <c:v>32</c:v>
                  </c:pt>
                  <c:pt idx="1">
                    <c:v>64</c:v>
                  </c:pt>
                  <c:pt idx="2">
                    <c:v>128</c:v>
                  </c:pt>
                  <c:pt idx="3">
                    <c:v>32</c:v>
                  </c:pt>
                  <c:pt idx="4">
                    <c:v>64</c:v>
                  </c:pt>
                  <c:pt idx="5">
                    <c:v>128</c:v>
                  </c:pt>
                  <c:pt idx="6">
                    <c:v>32</c:v>
                  </c:pt>
                  <c:pt idx="7">
                    <c:v>64</c:v>
                  </c:pt>
                  <c:pt idx="8">
                    <c:v>128</c:v>
                  </c:pt>
                  <c:pt idx="9">
                    <c:v>32</c:v>
                  </c:pt>
                  <c:pt idx="10">
                    <c:v>64</c:v>
                  </c:pt>
                  <c:pt idx="11">
                    <c:v>128</c:v>
                  </c:pt>
                  <c:pt idx="12">
                    <c:v>32</c:v>
                  </c:pt>
                  <c:pt idx="13">
                    <c:v>64</c:v>
                  </c:pt>
                  <c:pt idx="14">
                    <c:v>128</c:v>
                  </c:pt>
                </c:lvl>
                <c:lvl>
                  <c:pt idx="0">
                    <c:v>specbzip</c:v>
                  </c:pt>
                  <c:pt idx="3">
                    <c:v>spechmmer</c:v>
                  </c:pt>
                  <c:pt idx="6">
                    <c:v>speclibm</c:v>
                  </c:pt>
                  <c:pt idx="9">
                    <c:v>specmcf</c:v>
                  </c:pt>
                  <c:pt idx="12">
                    <c:v>specsjeng</c:v>
                  </c:pt>
                </c:lvl>
              </c:multiLvlStrCache>
            </c:multiLvlStrRef>
          </c:cat>
          <c:val>
            <c:numRef>
              <c:f>'cache w'!$C$5:$C$25</c:f>
              <c:numCache>
                <c:formatCode>General</c:formatCode>
                <c:ptCount val="15"/>
                <c:pt idx="0">
                  <c:v>0.84024299999999996</c:v>
                </c:pt>
                <c:pt idx="1">
                  <c:v>1.14703</c:v>
                </c:pt>
                <c:pt idx="2">
                  <c:v>1.1059399999999999</c:v>
                </c:pt>
                <c:pt idx="3">
                  <c:v>0.84024299999999996</c:v>
                </c:pt>
                <c:pt idx="4">
                  <c:v>1.14703</c:v>
                </c:pt>
                <c:pt idx="5">
                  <c:v>1.1059399999999999</c:v>
                </c:pt>
                <c:pt idx="6">
                  <c:v>0.84024299999999996</c:v>
                </c:pt>
                <c:pt idx="7">
                  <c:v>1.14703</c:v>
                </c:pt>
                <c:pt idx="8">
                  <c:v>1.1059399999999999</c:v>
                </c:pt>
                <c:pt idx="9">
                  <c:v>0.84024299999999996</c:v>
                </c:pt>
                <c:pt idx="10">
                  <c:v>1.14703</c:v>
                </c:pt>
                <c:pt idx="11">
                  <c:v>1.1059399999999999</c:v>
                </c:pt>
                <c:pt idx="12">
                  <c:v>0.84024299999999996</c:v>
                </c:pt>
                <c:pt idx="13">
                  <c:v>1.14703</c:v>
                </c:pt>
                <c:pt idx="14">
                  <c:v>1.1059399999999999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15-4859-9A0A-8069F2F3ADE4}"/>
            </c:ext>
          </c:extLst>
        </c:ser>
        <c:ser>
          <c:idx val="2"/>
          <c:order val="2"/>
          <c:tx>
            <c:strRef>
              <c:f>'cache w'!$D$4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'cache w'!$A$5:$A$25</c:f>
              <c:multiLvlStrCache>
                <c:ptCount val="15"/>
                <c:lvl>
                  <c:pt idx="0">
                    <c:v>32</c:v>
                  </c:pt>
                  <c:pt idx="1">
                    <c:v>64</c:v>
                  </c:pt>
                  <c:pt idx="2">
                    <c:v>128</c:v>
                  </c:pt>
                  <c:pt idx="3">
                    <c:v>32</c:v>
                  </c:pt>
                  <c:pt idx="4">
                    <c:v>64</c:v>
                  </c:pt>
                  <c:pt idx="5">
                    <c:v>128</c:v>
                  </c:pt>
                  <c:pt idx="6">
                    <c:v>32</c:v>
                  </c:pt>
                  <c:pt idx="7">
                    <c:v>64</c:v>
                  </c:pt>
                  <c:pt idx="8">
                    <c:v>128</c:v>
                  </c:pt>
                  <c:pt idx="9">
                    <c:v>32</c:v>
                  </c:pt>
                  <c:pt idx="10">
                    <c:v>64</c:v>
                  </c:pt>
                  <c:pt idx="11">
                    <c:v>128</c:v>
                  </c:pt>
                  <c:pt idx="12">
                    <c:v>32</c:v>
                  </c:pt>
                  <c:pt idx="13">
                    <c:v>64</c:v>
                  </c:pt>
                  <c:pt idx="14">
                    <c:v>128</c:v>
                  </c:pt>
                </c:lvl>
                <c:lvl>
                  <c:pt idx="0">
                    <c:v>specbzip</c:v>
                  </c:pt>
                  <c:pt idx="3">
                    <c:v>spechmmer</c:v>
                  </c:pt>
                  <c:pt idx="6">
                    <c:v>speclibm</c:v>
                  </c:pt>
                  <c:pt idx="9">
                    <c:v>specmcf</c:v>
                  </c:pt>
                  <c:pt idx="12">
                    <c:v>specsjeng</c:v>
                  </c:pt>
                </c:lvl>
              </c:multiLvlStrCache>
            </c:multiLvlStrRef>
          </c:cat>
          <c:val>
            <c:numRef>
              <c:f>'cache w'!$D$5:$D$25</c:f>
              <c:numCache>
                <c:formatCode>General</c:formatCode>
                <c:ptCount val="15"/>
                <c:pt idx="0">
                  <c:v>0.95285799999999998</c:v>
                </c:pt>
                <c:pt idx="1">
                  <c:v>1.275447</c:v>
                </c:pt>
                <c:pt idx="2">
                  <c:v>1.3347319999999998</c:v>
                </c:pt>
                <c:pt idx="3">
                  <c:v>0.91456499999999996</c:v>
                </c:pt>
                <c:pt idx="4">
                  <c:v>1.234885</c:v>
                </c:pt>
                <c:pt idx="5">
                  <c:v>1.227927</c:v>
                </c:pt>
                <c:pt idx="6">
                  <c:v>0.936226</c:v>
                </c:pt>
                <c:pt idx="7">
                  <c:v>1.2613319999999999</c:v>
                </c:pt>
                <c:pt idx="8">
                  <c:v>1.2913329999999998</c:v>
                </c:pt>
                <c:pt idx="9">
                  <c:v>0.9849429999999999</c:v>
                </c:pt>
                <c:pt idx="10">
                  <c:v>1.301301</c:v>
                </c:pt>
                <c:pt idx="11">
                  <c:v>1.298924</c:v>
                </c:pt>
                <c:pt idx="12">
                  <c:v>0.97515499999999999</c:v>
                </c:pt>
                <c:pt idx="13">
                  <c:v>1.2903819999999999</c:v>
                </c:pt>
                <c:pt idx="14">
                  <c:v>1.3057759999999998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B15-4859-9A0A-8069F2F3AD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4022528"/>
        <c:axId val="284022856"/>
      </c:barChart>
      <c:catAx>
        <c:axId val="284022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Cache</a:t>
                </a:r>
                <a:r>
                  <a:rPr lang="en-US" baseline="0"/>
                  <a:t> line size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84022856"/>
        <c:crosses val="autoZero"/>
        <c:auto val="1"/>
        <c:lblAlgn val="ctr"/>
        <c:lblOffset val="100"/>
        <c:noMultiLvlLbl val="0"/>
      </c:catAx>
      <c:valAx>
        <c:axId val="284022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[W]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8402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1186722946760367"/>
          <c:y val="5.096757481306205E-2"/>
          <c:w val="0.5968793199743021"/>
          <c:h val="7.9431642247098908E-2"/>
        </c:manualLayout>
      </c:layout>
      <c:overlay val="1"/>
      <c:spPr>
        <a:solidFill>
          <a:schemeClr val="bg1"/>
        </a:solidFill>
        <a:ln w="12700"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l-G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600"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[data_summary.xlsm]cache w (2)!PivotTable1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'cache w (2)'!$B$4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'cache w (2)'!$A$5:$A$25</c:f>
              <c:multiLvlStrCache>
                <c:ptCount val="15"/>
                <c:lvl>
                  <c:pt idx="0">
                    <c:v>32</c:v>
                  </c:pt>
                  <c:pt idx="1">
                    <c:v>64</c:v>
                  </c:pt>
                  <c:pt idx="2">
                    <c:v>128</c:v>
                  </c:pt>
                  <c:pt idx="3">
                    <c:v>32</c:v>
                  </c:pt>
                  <c:pt idx="4">
                    <c:v>64</c:v>
                  </c:pt>
                  <c:pt idx="5">
                    <c:v>128</c:v>
                  </c:pt>
                  <c:pt idx="6">
                    <c:v>32</c:v>
                  </c:pt>
                  <c:pt idx="7">
                    <c:v>64</c:v>
                  </c:pt>
                  <c:pt idx="8">
                    <c:v>128</c:v>
                  </c:pt>
                  <c:pt idx="9">
                    <c:v>32</c:v>
                  </c:pt>
                  <c:pt idx="10">
                    <c:v>64</c:v>
                  </c:pt>
                  <c:pt idx="11">
                    <c:v>128</c:v>
                  </c:pt>
                  <c:pt idx="12">
                    <c:v>32</c:v>
                  </c:pt>
                  <c:pt idx="13">
                    <c:v>64</c:v>
                  </c:pt>
                  <c:pt idx="14">
                    <c:v>128</c:v>
                  </c:pt>
                </c:lvl>
                <c:lvl>
                  <c:pt idx="0">
                    <c:v>specbzip</c:v>
                  </c:pt>
                  <c:pt idx="3">
                    <c:v>spechmmer</c:v>
                  </c:pt>
                  <c:pt idx="6">
                    <c:v>speclibm</c:v>
                  </c:pt>
                  <c:pt idx="9">
                    <c:v>specmcf</c:v>
                  </c:pt>
                  <c:pt idx="12">
                    <c:v>specsjeng</c:v>
                  </c:pt>
                </c:lvl>
              </c:multiLvlStrCache>
            </c:multiLvlStrRef>
          </c:cat>
          <c:val>
            <c:numRef>
              <c:f>'cache w (2)'!$B$5:$B$25</c:f>
              <c:numCache>
                <c:formatCode>General</c:formatCode>
                <c:ptCount val="15"/>
                <c:pt idx="0">
                  <c:v>0.95285799999999998</c:v>
                </c:pt>
                <c:pt idx="1">
                  <c:v>1.275447</c:v>
                </c:pt>
                <c:pt idx="2">
                  <c:v>1.3347319999999998</c:v>
                </c:pt>
                <c:pt idx="3">
                  <c:v>0.91456499999999996</c:v>
                </c:pt>
                <c:pt idx="4">
                  <c:v>1.234885</c:v>
                </c:pt>
                <c:pt idx="5">
                  <c:v>1.227927</c:v>
                </c:pt>
                <c:pt idx="6">
                  <c:v>0.936226</c:v>
                </c:pt>
                <c:pt idx="7">
                  <c:v>1.2613319999999999</c:v>
                </c:pt>
                <c:pt idx="8">
                  <c:v>1.2913329999999998</c:v>
                </c:pt>
                <c:pt idx="9">
                  <c:v>0.9849429999999999</c:v>
                </c:pt>
                <c:pt idx="10">
                  <c:v>1.301301</c:v>
                </c:pt>
                <c:pt idx="11">
                  <c:v>1.298924</c:v>
                </c:pt>
                <c:pt idx="12">
                  <c:v>0.97515499999999999</c:v>
                </c:pt>
                <c:pt idx="13">
                  <c:v>1.2903819999999999</c:v>
                </c:pt>
                <c:pt idx="14">
                  <c:v>1.3057759999999998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87-41A7-AE38-33423574BEC1}"/>
            </c:ext>
          </c:extLst>
        </c:ser>
        <c:ser>
          <c:idx val="1"/>
          <c:order val="1"/>
          <c:tx>
            <c:strRef>
              <c:f>'cache w (2)'!$C$4</c:f>
              <c:strCache>
                <c:ptCount val="1"/>
                <c:pt idx="0">
                  <c:v>Peak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'cache w (2)'!$A$5:$A$25</c:f>
              <c:multiLvlStrCache>
                <c:ptCount val="15"/>
                <c:lvl>
                  <c:pt idx="0">
                    <c:v>32</c:v>
                  </c:pt>
                  <c:pt idx="1">
                    <c:v>64</c:v>
                  </c:pt>
                  <c:pt idx="2">
                    <c:v>128</c:v>
                  </c:pt>
                  <c:pt idx="3">
                    <c:v>32</c:v>
                  </c:pt>
                  <c:pt idx="4">
                    <c:v>64</c:v>
                  </c:pt>
                  <c:pt idx="5">
                    <c:v>128</c:v>
                  </c:pt>
                  <c:pt idx="6">
                    <c:v>32</c:v>
                  </c:pt>
                  <c:pt idx="7">
                    <c:v>64</c:v>
                  </c:pt>
                  <c:pt idx="8">
                    <c:v>128</c:v>
                  </c:pt>
                  <c:pt idx="9">
                    <c:v>32</c:v>
                  </c:pt>
                  <c:pt idx="10">
                    <c:v>64</c:v>
                  </c:pt>
                  <c:pt idx="11">
                    <c:v>128</c:v>
                  </c:pt>
                  <c:pt idx="12">
                    <c:v>32</c:v>
                  </c:pt>
                  <c:pt idx="13">
                    <c:v>64</c:v>
                  </c:pt>
                  <c:pt idx="14">
                    <c:v>128</c:v>
                  </c:pt>
                </c:lvl>
                <c:lvl>
                  <c:pt idx="0">
                    <c:v>specbzip</c:v>
                  </c:pt>
                  <c:pt idx="3">
                    <c:v>spechmmer</c:v>
                  </c:pt>
                  <c:pt idx="6">
                    <c:v>speclibm</c:v>
                  </c:pt>
                  <c:pt idx="9">
                    <c:v>specmcf</c:v>
                  </c:pt>
                  <c:pt idx="12">
                    <c:v>specsjeng</c:v>
                  </c:pt>
                </c:lvl>
              </c:multiLvlStrCache>
            </c:multiLvlStrRef>
          </c:cat>
          <c:val>
            <c:numRef>
              <c:f>'cache w (2)'!$C$5:$C$25</c:f>
              <c:numCache>
                <c:formatCode>General</c:formatCode>
                <c:ptCount val="15"/>
                <c:pt idx="0">
                  <c:v>2.17171</c:v>
                </c:pt>
                <c:pt idx="1">
                  <c:v>3.7820100000000001</c:v>
                </c:pt>
                <c:pt idx="2">
                  <c:v>8.1870999999999992</c:v>
                </c:pt>
                <c:pt idx="3">
                  <c:v>2.17171</c:v>
                </c:pt>
                <c:pt idx="4">
                  <c:v>3.7820100000000001</c:v>
                </c:pt>
                <c:pt idx="5">
                  <c:v>8.1870999999999992</c:v>
                </c:pt>
                <c:pt idx="6">
                  <c:v>2.17171</c:v>
                </c:pt>
                <c:pt idx="7">
                  <c:v>3.7820100000000001</c:v>
                </c:pt>
                <c:pt idx="8">
                  <c:v>8.1870999999999992</c:v>
                </c:pt>
                <c:pt idx="9">
                  <c:v>2.17171</c:v>
                </c:pt>
                <c:pt idx="10">
                  <c:v>3.7820100000000001</c:v>
                </c:pt>
                <c:pt idx="11">
                  <c:v>8.1870999999999992</c:v>
                </c:pt>
                <c:pt idx="12">
                  <c:v>2.17171</c:v>
                </c:pt>
                <c:pt idx="13">
                  <c:v>3.7820100000000001</c:v>
                </c:pt>
                <c:pt idx="14">
                  <c:v>8.1870999999999992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87-41A7-AE38-33423574B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4022528"/>
        <c:axId val="284022856"/>
      </c:barChart>
      <c:catAx>
        <c:axId val="284022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Cache</a:t>
                </a:r>
                <a:r>
                  <a:rPr lang="en-US" baseline="0"/>
                  <a:t> line size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84022856"/>
        <c:crosses val="autoZero"/>
        <c:auto val="1"/>
        <c:lblAlgn val="ctr"/>
        <c:lblOffset val="100"/>
        <c:noMultiLvlLbl val="0"/>
      </c:catAx>
      <c:valAx>
        <c:axId val="284022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[W]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8402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8730801638725051"/>
          <c:y val="5.096757481306205E-2"/>
          <c:w val="9.2672548772731816E-2"/>
          <c:h val="0.15477444901137971"/>
        </c:manualLayout>
      </c:layout>
      <c:overlay val="1"/>
      <c:spPr>
        <a:solidFill>
          <a:schemeClr val="bg1"/>
        </a:solidFill>
        <a:ln w="12700"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l-G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600"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[data_summary.xlsm]cache area!PivotTable1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'cache area'!$B$4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'cache area'!$A$5:$A$25</c:f>
              <c:multiLvlStrCache>
                <c:ptCount val="15"/>
                <c:lvl>
                  <c:pt idx="0">
                    <c:v>32</c:v>
                  </c:pt>
                  <c:pt idx="1">
                    <c:v>64</c:v>
                  </c:pt>
                  <c:pt idx="2">
                    <c:v>128</c:v>
                  </c:pt>
                  <c:pt idx="3">
                    <c:v>32</c:v>
                  </c:pt>
                  <c:pt idx="4">
                    <c:v>64</c:v>
                  </c:pt>
                  <c:pt idx="5">
                    <c:v>128</c:v>
                  </c:pt>
                  <c:pt idx="6">
                    <c:v>32</c:v>
                  </c:pt>
                  <c:pt idx="7">
                    <c:v>64</c:v>
                  </c:pt>
                  <c:pt idx="8">
                    <c:v>128</c:v>
                  </c:pt>
                  <c:pt idx="9">
                    <c:v>32</c:v>
                  </c:pt>
                  <c:pt idx="10">
                    <c:v>64</c:v>
                  </c:pt>
                  <c:pt idx="11">
                    <c:v>128</c:v>
                  </c:pt>
                  <c:pt idx="12">
                    <c:v>32</c:v>
                  </c:pt>
                  <c:pt idx="13">
                    <c:v>64</c:v>
                  </c:pt>
                  <c:pt idx="14">
                    <c:v>128</c:v>
                  </c:pt>
                </c:lvl>
                <c:lvl>
                  <c:pt idx="0">
                    <c:v>specbzip</c:v>
                  </c:pt>
                  <c:pt idx="3">
                    <c:v>spechmmer</c:v>
                  </c:pt>
                  <c:pt idx="6">
                    <c:v>speclibm</c:v>
                  </c:pt>
                  <c:pt idx="9">
                    <c:v>specmcf</c:v>
                  </c:pt>
                  <c:pt idx="12">
                    <c:v>specsjeng</c:v>
                  </c:pt>
                </c:lvl>
              </c:multiLvlStrCache>
            </c:multiLvlStrRef>
          </c:cat>
          <c:val>
            <c:numRef>
              <c:f>'cache area'!$B$5:$B$25</c:f>
              <c:numCache>
                <c:formatCode>General</c:formatCode>
                <c:ptCount val="15"/>
                <c:pt idx="0">
                  <c:v>8.6724599999999992</c:v>
                </c:pt>
                <c:pt idx="1">
                  <c:v>10.7277</c:v>
                </c:pt>
                <c:pt idx="2">
                  <c:v>27.278600000000001</c:v>
                </c:pt>
                <c:pt idx="3">
                  <c:v>8.6724599999999992</c:v>
                </c:pt>
                <c:pt idx="4">
                  <c:v>10.7277</c:v>
                </c:pt>
                <c:pt idx="5">
                  <c:v>27.278600000000001</c:v>
                </c:pt>
                <c:pt idx="6">
                  <c:v>8.6724599999999992</c:v>
                </c:pt>
                <c:pt idx="7">
                  <c:v>10.7277</c:v>
                </c:pt>
                <c:pt idx="8">
                  <c:v>27.278600000000001</c:v>
                </c:pt>
                <c:pt idx="9">
                  <c:v>8.6724599999999992</c:v>
                </c:pt>
                <c:pt idx="10">
                  <c:v>10.7277</c:v>
                </c:pt>
                <c:pt idx="11">
                  <c:v>27.278600000000001</c:v>
                </c:pt>
                <c:pt idx="12">
                  <c:v>8.6724599999999992</c:v>
                </c:pt>
                <c:pt idx="13">
                  <c:v>10.7277</c:v>
                </c:pt>
                <c:pt idx="14">
                  <c:v>27.278600000000001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63-472A-A240-C16EE7A823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4022528"/>
        <c:axId val="284022856"/>
      </c:barChart>
      <c:catAx>
        <c:axId val="284022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Cache</a:t>
                </a:r>
                <a:r>
                  <a:rPr lang="en-US" baseline="0"/>
                  <a:t> line size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84022856"/>
        <c:crosses val="autoZero"/>
        <c:auto val="1"/>
        <c:lblAlgn val="ctr"/>
        <c:lblOffset val="100"/>
        <c:noMultiLvlLbl val="0"/>
      </c:catAx>
      <c:valAx>
        <c:axId val="284022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Area [mm²]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8402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600"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[data_summary.xlsm]cache perf!PivotTable1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rgbClr val="00B0F0"/>
          </a:solidFill>
          <a:ln>
            <a:noFill/>
          </a:ln>
          <a:effectLst/>
        </c:spPr>
      </c:pivotFmt>
      <c:pivotFmt>
        <c:idx val="11"/>
        <c:spPr>
          <a:solidFill>
            <a:srgbClr val="00B0F0"/>
          </a:solidFill>
          <a:ln>
            <a:noFill/>
          </a:ln>
          <a:effectLst/>
        </c:spPr>
      </c:pivotFmt>
      <c:pivotFmt>
        <c:idx val="12"/>
        <c:spPr>
          <a:solidFill>
            <a:srgbClr val="00B0F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'cache perf'!$B$4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38B-4782-9213-9438C309E333}"/>
              </c:ext>
            </c:extLst>
          </c:dPt>
          <c:dPt>
            <c:idx val="4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38B-4782-9213-9438C309E333}"/>
              </c:ext>
            </c:extLst>
          </c:dPt>
          <c:dPt>
            <c:idx val="5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38B-4782-9213-9438C309E333}"/>
              </c:ext>
            </c:extLst>
          </c:dPt>
          <c:cat>
            <c:multiLvlStrRef>
              <c:f>'cache perf'!$A$5:$A$25</c:f>
              <c:multiLvlStrCache>
                <c:ptCount val="15"/>
                <c:lvl>
                  <c:pt idx="0">
                    <c:v>32</c:v>
                  </c:pt>
                  <c:pt idx="1">
                    <c:v>64</c:v>
                  </c:pt>
                  <c:pt idx="2">
                    <c:v>128</c:v>
                  </c:pt>
                  <c:pt idx="3">
                    <c:v>32</c:v>
                  </c:pt>
                  <c:pt idx="4">
                    <c:v>64</c:v>
                  </c:pt>
                  <c:pt idx="5">
                    <c:v>128</c:v>
                  </c:pt>
                  <c:pt idx="6">
                    <c:v>32</c:v>
                  </c:pt>
                  <c:pt idx="7">
                    <c:v>64</c:v>
                  </c:pt>
                  <c:pt idx="8">
                    <c:v>128</c:v>
                  </c:pt>
                  <c:pt idx="9">
                    <c:v>32</c:v>
                  </c:pt>
                  <c:pt idx="10">
                    <c:v>64</c:v>
                  </c:pt>
                  <c:pt idx="11">
                    <c:v>128</c:v>
                  </c:pt>
                  <c:pt idx="12">
                    <c:v>32</c:v>
                  </c:pt>
                  <c:pt idx="13">
                    <c:v>64</c:v>
                  </c:pt>
                  <c:pt idx="14">
                    <c:v>128</c:v>
                  </c:pt>
                </c:lvl>
                <c:lvl>
                  <c:pt idx="0">
                    <c:v>specbzip</c:v>
                  </c:pt>
                  <c:pt idx="3">
                    <c:v>spechmmer</c:v>
                  </c:pt>
                  <c:pt idx="6">
                    <c:v>speclibm</c:v>
                  </c:pt>
                  <c:pt idx="9">
                    <c:v>specmcf</c:v>
                  </c:pt>
                  <c:pt idx="12">
                    <c:v>specsjeng</c:v>
                  </c:pt>
                </c:lvl>
              </c:multiLvlStrCache>
            </c:multiLvlStrRef>
          </c:cat>
          <c:val>
            <c:numRef>
              <c:f>'cache perf'!$B$5:$B$25</c:f>
              <c:numCache>
                <c:formatCode>General</c:formatCode>
                <c:ptCount val="15"/>
                <c:pt idx="0">
                  <c:v>5.7149393400622364</c:v>
                </c:pt>
                <c:pt idx="1">
                  <c:v>4.5379184037345617</c:v>
                </c:pt>
                <c:pt idx="2">
                  <c:v>4.3284153834462469</c:v>
                </c:pt>
                <c:pt idx="3">
                  <c:v>6.7494600431965441</c:v>
                </c:pt>
                <c:pt idx="4">
                  <c:v>6.8626643608114408</c:v>
                </c:pt>
                <c:pt idx="5">
                  <c:v>8.1438530197406998</c:v>
                </c:pt>
                <c:pt idx="6">
                  <c:v>0.91602130309401908</c:v>
                </c:pt>
                <c:pt idx="7">
                  <c:v>1.1257961638914511</c:v>
                </c:pt>
                <c:pt idx="8">
                  <c:v>1.5555663425439377</c:v>
                </c:pt>
                <c:pt idx="9">
                  <c:v>8.9891379930843325</c:v>
                </c:pt>
                <c:pt idx="10">
                  <c:v>6.9717551818250136</c:v>
                </c:pt>
                <c:pt idx="11">
                  <c:v>7.074041924125539</c:v>
                </c:pt>
                <c:pt idx="12">
                  <c:v>8.3690628152730575</c:v>
                </c:pt>
                <c:pt idx="13">
                  <c:v>6.2883041435390439</c:v>
                </c:pt>
                <c:pt idx="14">
                  <c:v>6.1609291371162831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8B-4782-9213-9438C309E3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4022528"/>
        <c:axId val="284022856"/>
      </c:barChart>
      <c:catAx>
        <c:axId val="284022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Cache</a:t>
                </a:r>
                <a:r>
                  <a:rPr lang="en-US" baseline="0"/>
                  <a:t> line size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84022856"/>
        <c:crosses val="autoZero"/>
        <c:auto val="1"/>
        <c:lblAlgn val="ctr"/>
        <c:lblOffset val="100"/>
        <c:noMultiLvlLbl val="0"/>
      </c:catAx>
      <c:valAx>
        <c:axId val="284022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Energy Efficiency/Instructions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8402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600"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[data_summary.xlsm]l1d-l1i w (2)!PivotTable1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'l1d-l1i w (2)'!$B$4:$B$5</c:f>
              <c:strCache>
                <c:ptCount val="1"/>
                <c:pt idx="0">
                  <c:v>16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'l1d-l1i w (2)'!$A$6:$A$31</c:f>
              <c:multiLvlStrCache>
                <c:ptCount val="20"/>
                <c:lvl>
                  <c:pt idx="0">
                    <c:v>16</c:v>
                  </c:pt>
                  <c:pt idx="1">
                    <c:v>32</c:v>
                  </c:pt>
                  <c:pt idx="2">
                    <c:v>64</c:v>
                  </c:pt>
                  <c:pt idx="3">
                    <c:v>128</c:v>
                  </c:pt>
                  <c:pt idx="4">
                    <c:v>16</c:v>
                  </c:pt>
                  <c:pt idx="5">
                    <c:v>32</c:v>
                  </c:pt>
                  <c:pt idx="6">
                    <c:v>64</c:v>
                  </c:pt>
                  <c:pt idx="7">
                    <c:v>128</c:v>
                  </c:pt>
                  <c:pt idx="8">
                    <c:v>16</c:v>
                  </c:pt>
                  <c:pt idx="9">
                    <c:v>32</c:v>
                  </c:pt>
                  <c:pt idx="10">
                    <c:v>64</c:v>
                  </c:pt>
                  <c:pt idx="11">
                    <c:v>128</c:v>
                  </c:pt>
                  <c:pt idx="12">
                    <c:v>16</c:v>
                  </c:pt>
                  <c:pt idx="13">
                    <c:v>32</c:v>
                  </c:pt>
                  <c:pt idx="14">
                    <c:v>64</c:v>
                  </c:pt>
                  <c:pt idx="15">
                    <c:v>128</c:v>
                  </c:pt>
                  <c:pt idx="16">
                    <c:v>16</c:v>
                  </c:pt>
                  <c:pt idx="17">
                    <c:v>32</c:v>
                  </c:pt>
                  <c:pt idx="18">
                    <c:v>64</c:v>
                  </c:pt>
                  <c:pt idx="19">
                    <c:v>128</c:v>
                  </c:pt>
                </c:lvl>
                <c:lvl>
                  <c:pt idx="0">
                    <c:v>specbzip</c:v>
                  </c:pt>
                  <c:pt idx="4">
                    <c:v>spechmmer</c:v>
                  </c:pt>
                  <c:pt idx="8">
                    <c:v>speclibm</c:v>
                  </c:pt>
                  <c:pt idx="12">
                    <c:v>specmcf</c:v>
                  </c:pt>
                  <c:pt idx="16">
                    <c:v>specsjeng</c:v>
                  </c:pt>
                </c:lvl>
              </c:multiLvlStrCache>
            </c:multiLvlStrRef>
          </c:cat>
          <c:val>
            <c:numRef>
              <c:f>'l1d-l1i w (2)'!$B$6:$B$31</c:f>
              <c:numCache>
                <c:formatCode>General</c:formatCode>
                <c:ptCount val="20"/>
                <c:pt idx="0">
                  <c:v>0.85499700000000001</c:v>
                </c:pt>
                <c:pt idx="1">
                  <c:v>0.86250499999999997</c:v>
                </c:pt>
                <c:pt idx="2">
                  <c:v>1.2654830000000001</c:v>
                </c:pt>
                <c:pt idx="3">
                  <c:v>1.547399</c:v>
                </c:pt>
                <c:pt idx="4">
                  <c:v>0.81391000000000002</c:v>
                </c:pt>
                <c:pt idx="5">
                  <c:v>0.82017600000000002</c:v>
                </c:pt>
                <c:pt idx="6">
                  <c:v>1.22682</c:v>
                </c:pt>
                <c:pt idx="7">
                  <c:v>1.5103769999999999</c:v>
                </c:pt>
                <c:pt idx="8">
                  <c:v>0.84032700000000005</c:v>
                </c:pt>
                <c:pt idx="9">
                  <c:v>0.84780100000000003</c:v>
                </c:pt>
                <c:pt idx="10">
                  <c:v>1.2507790000000001</c:v>
                </c:pt>
                <c:pt idx="11">
                  <c:v>1.5327299999999999</c:v>
                </c:pt>
                <c:pt idx="12">
                  <c:v>0.86670100000000005</c:v>
                </c:pt>
                <c:pt idx="13">
                  <c:v>0.88594600000000001</c:v>
                </c:pt>
                <c:pt idx="14">
                  <c:v>1.2900240000000001</c:v>
                </c:pt>
                <c:pt idx="15">
                  <c:v>1.571942</c:v>
                </c:pt>
                <c:pt idx="16">
                  <c:v>0.86876700000000007</c:v>
                </c:pt>
                <c:pt idx="17">
                  <c:v>0.876309</c:v>
                </c:pt>
                <c:pt idx="18">
                  <c:v>1.2792570000000001</c:v>
                </c:pt>
                <c:pt idx="19">
                  <c:v>1.561172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36-4A22-B97F-CBE70240ACFE}"/>
            </c:ext>
          </c:extLst>
        </c:ser>
        <c:ser>
          <c:idx val="1"/>
          <c:order val="1"/>
          <c:tx>
            <c:strRef>
              <c:f>'l1d-l1i w (2)'!$C$4:$C$5</c:f>
              <c:strCache>
                <c:ptCount val="1"/>
                <c:pt idx="0">
                  <c:v>32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'l1d-l1i w (2)'!$A$6:$A$31</c:f>
              <c:multiLvlStrCache>
                <c:ptCount val="20"/>
                <c:lvl>
                  <c:pt idx="0">
                    <c:v>16</c:v>
                  </c:pt>
                  <c:pt idx="1">
                    <c:v>32</c:v>
                  </c:pt>
                  <c:pt idx="2">
                    <c:v>64</c:v>
                  </c:pt>
                  <c:pt idx="3">
                    <c:v>128</c:v>
                  </c:pt>
                  <c:pt idx="4">
                    <c:v>16</c:v>
                  </c:pt>
                  <c:pt idx="5">
                    <c:v>32</c:v>
                  </c:pt>
                  <c:pt idx="6">
                    <c:v>64</c:v>
                  </c:pt>
                  <c:pt idx="7">
                    <c:v>128</c:v>
                  </c:pt>
                  <c:pt idx="8">
                    <c:v>16</c:v>
                  </c:pt>
                  <c:pt idx="9">
                    <c:v>32</c:v>
                  </c:pt>
                  <c:pt idx="10">
                    <c:v>64</c:v>
                  </c:pt>
                  <c:pt idx="11">
                    <c:v>128</c:v>
                  </c:pt>
                  <c:pt idx="12">
                    <c:v>16</c:v>
                  </c:pt>
                  <c:pt idx="13">
                    <c:v>32</c:v>
                  </c:pt>
                  <c:pt idx="14">
                    <c:v>64</c:v>
                  </c:pt>
                  <c:pt idx="15">
                    <c:v>128</c:v>
                  </c:pt>
                  <c:pt idx="16">
                    <c:v>16</c:v>
                  </c:pt>
                  <c:pt idx="17">
                    <c:v>32</c:v>
                  </c:pt>
                  <c:pt idx="18">
                    <c:v>64</c:v>
                  </c:pt>
                  <c:pt idx="19">
                    <c:v>128</c:v>
                  </c:pt>
                </c:lvl>
                <c:lvl>
                  <c:pt idx="0">
                    <c:v>specbzip</c:v>
                  </c:pt>
                  <c:pt idx="4">
                    <c:v>spechmmer</c:v>
                  </c:pt>
                  <c:pt idx="8">
                    <c:v>speclibm</c:v>
                  </c:pt>
                  <c:pt idx="12">
                    <c:v>specmcf</c:v>
                  </c:pt>
                  <c:pt idx="16">
                    <c:v>specsjeng</c:v>
                  </c:pt>
                </c:lvl>
              </c:multiLvlStrCache>
            </c:multiLvlStrRef>
          </c:cat>
          <c:val>
            <c:numRef>
              <c:f>'l1d-l1i w (2)'!$C$6:$C$31</c:f>
              <c:numCache>
                <c:formatCode>General</c:formatCode>
                <c:ptCount val="20"/>
                <c:pt idx="0">
                  <c:v>0.864954</c:v>
                </c:pt>
                <c:pt idx="1">
                  <c:v>0.87246000000000001</c:v>
                </c:pt>
                <c:pt idx="2">
                  <c:v>1.275447</c:v>
                </c:pt>
                <c:pt idx="3">
                  <c:v>1.5573570000000001</c:v>
                </c:pt>
                <c:pt idx="4">
                  <c:v>0.82123199999999996</c:v>
                </c:pt>
                <c:pt idx="5">
                  <c:v>0.82805700000000004</c:v>
                </c:pt>
                <c:pt idx="6">
                  <c:v>1.234885</c:v>
                </c:pt>
                <c:pt idx="7">
                  <c:v>1.518548</c:v>
                </c:pt>
                <c:pt idx="8">
                  <c:v>0.85083500000000001</c:v>
                </c:pt>
                <c:pt idx="9">
                  <c:v>0.85834900000000003</c:v>
                </c:pt>
                <c:pt idx="10">
                  <c:v>1.2613319999999999</c:v>
                </c:pt>
                <c:pt idx="11">
                  <c:v>1.543242</c:v>
                </c:pt>
                <c:pt idx="12">
                  <c:v>0.87704000000000004</c:v>
                </c:pt>
                <c:pt idx="13">
                  <c:v>0.89717400000000003</c:v>
                </c:pt>
                <c:pt idx="14">
                  <c:v>1.301301</c:v>
                </c:pt>
                <c:pt idx="15">
                  <c:v>1.5832010000000001</c:v>
                </c:pt>
                <c:pt idx="16">
                  <c:v>0.879853</c:v>
                </c:pt>
                <c:pt idx="17">
                  <c:v>0.88740400000000008</c:v>
                </c:pt>
                <c:pt idx="18">
                  <c:v>1.2903819999999999</c:v>
                </c:pt>
                <c:pt idx="19">
                  <c:v>1.5722970000000001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36-4A22-B97F-CBE70240ACFE}"/>
            </c:ext>
          </c:extLst>
        </c:ser>
        <c:ser>
          <c:idx val="2"/>
          <c:order val="2"/>
          <c:tx>
            <c:strRef>
              <c:f>'l1d-l1i w (2)'!$D$4:$D$5</c:f>
              <c:strCache>
                <c:ptCount val="1"/>
                <c:pt idx="0">
                  <c:v>64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'l1d-l1i w (2)'!$A$6:$A$31</c:f>
              <c:multiLvlStrCache>
                <c:ptCount val="20"/>
                <c:lvl>
                  <c:pt idx="0">
                    <c:v>16</c:v>
                  </c:pt>
                  <c:pt idx="1">
                    <c:v>32</c:v>
                  </c:pt>
                  <c:pt idx="2">
                    <c:v>64</c:v>
                  </c:pt>
                  <c:pt idx="3">
                    <c:v>128</c:v>
                  </c:pt>
                  <c:pt idx="4">
                    <c:v>16</c:v>
                  </c:pt>
                  <c:pt idx="5">
                    <c:v>32</c:v>
                  </c:pt>
                  <c:pt idx="6">
                    <c:v>64</c:v>
                  </c:pt>
                  <c:pt idx="7">
                    <c:v>128</c:v>
                  </c:pt>
                  <c:pt idx="8">
                    <c:v>16</c:v>
                  </c:pt>
                  <c:pt idx="9">
                    <c:v>32</c:v>
                  </c:pt>
                  <c:pt idx="10">
                    <c:v>64</c:v>
                  </c:pt>
                  <c:pt idx="11">
                    <c:v>128</c:v>
                  </c:pt>
                  <c:pt idx="12">
                    <c:v>16</c:v>
                  </c:pt>
                  <c:pt idx="13">
                    <c:v>32</c:v>
                  </c:pt>
                  <c:pt idx="14">
                    <c:v>64</c:v>
                  </c:pt>
                  <c:pt idx="15">
                    <c:v>128</c:v>
                  </c:pt>
                  <c:pt idx="16">
                    <c:v>16</c:v>
                  </c:pt>
                  <c:pt idx="17">
                    <c:v>32</c:v>
                  </c:pt>
                  <c:pt idx="18">
                    <c:v>64</c:v>
                  </c:pt>
                  <c:pt idx="19">
                    <c:v>128</c:v>
                  </c:pt>
                </c:lvl>
                <c:lvl>
                  <c:pt idx="0">
                    <c:v>specbzip</c:v>
                  </c:pt>
                  <c:pt idx="4">
                    <c:v>spechmmer</c:v>
                  </c:pt>
                  <c:pt idx="8">
                    <c:v>speclibm</c:v>
                  </c:pt>
                  <c:pt idx="12">
                    <c:v>specmcf</c:v>
                  </c:pt>
                  <c:pt idx="16">
                    <c:v>specsjeng</c:v>
                  </c:pt>
                </c:lvl>
              </c:multiLvlStrCache>
            </c:multiLvlStrRef>
          </c:cat>
          <c:val>
            <c:numRef>
              <c:f>'l1d-l1i w (2)'!$D$6:$D$31</c:f>
              <c:numCache>
                <c:formatCode>General</c:formatCode>
                <c:ptCount val="20"/>
                <c:pt idx="0">
                  <c:v>1.482321</c:v>
                </c:pt>
                <c:pt idx="1">
                  <c:v>1.4898720000000001</c:v>
                </c:pt>
                <c:pt idx="2">
                  <c:v>1.892825</c:v>
                </c:pt>
                <c:pt idx="3">
                  <c:v>2.1747450000000002</c:v>
                </c:pt>
                <c:pt idx="4">
                  <c:v>1.2788680000000001</c:v>
                </c:pt>
                <c:pt idx="5">
                  <c:v>1.2871710000000001</c:v>
                </c:pt>
                <c:pt idx="6">
                  <c:v>1.6943319999999999</c:v>
                </c:pt>
                <c:pt idx="7">
                  <c:v>1.977921</c:v>
                </c:pt>
                <c:pt idx="8">
                  <c:v>1.350867</c:v>
                </c:pt>
                <c:pt idx="9">
                  <c:v>1.3583879999999999</c:v>
                </c:pt>
                <c:pt idx="10">
                  <c:v>1.761358</c:v>
                </c:pt>
                <c:pt idx="11">
                  <c:v>2.0432790000000001</c:v>
                </c:pt>
                <c:pt idx="12">
                  <c:v>1.448644</c:v>
                </c:pt>
                <c:pt idx="13">
                  <c:v>1.5184770000000001</c:v>
                </c:pt>
                <c:pt idx="14">
                  <c:v>1.927467</c:v>
                </c:pt>
                <c:pt idx="15">
                  <c:v>2.2093439999999998</c:v>
                </c:pt>
                <c:pt idx="16">
                  <c:v>1.534114</c:v>
                </c:pt>
                <c:pt idx="17">
                  <c:v>1.5420479999999999</c:v>
                </c:pt>
                <c:pt idx="18">
                  <c:v>1.9452820000000002</c:v>
                </c:pt>
                <c:pt idx="19">
                  <c:v>2.2272210000000001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36-4A22-B97F-CBE70240ACFE}"/>
            </c:ext>
          </c:extLst>
        </c:ser>
        <c:ser>
          <c:idx val="3"/>
          <c:order val="3"/>
          <c:tx>
            <c:strRef>
              <c:f>'l1d-l1i w (2)'!$E$4:$E$5</c:f>
              <c:strCache>
                <c:ptCount val="1"/>
                <c:pt idx="0">
                  <c:v>128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'l1d-l1i w (2)'!$A$6:$A$31</c:f>
              <c:multiLvlStrCache>
                <c:ptCount val="20"/>
                <c:lvl>
                  <c:pt idx="0">
                    <c:v>16</c:v>
                  </c:pt>
                  <c:pt idx="1">
                    <c:v>32</c:v>
                  </c:pt>
                  <c:pt idx="2">
                    <c:v>64</c:v>
                  </c:pt>
                  <c:pt idx="3">
                    <c:v>128</c:v>
                  </c:pt>
                  <c:pt idx="4">
                    <c:v>16</c:v>
                  </c:pt>
                  <c:pt idx="5">
                    <c:v>32</c:v>
                  </c:pt>
                  <c:pt idx="6">
                    <c:v>64</c:v>
                  </c:pt>
                  <c:pt idx="7">
                    <c:v>128</c:v>
                  </c:pt>
                  <c:pt idx="8">
                    <c:v>16</c:v>
                  </c:pt>
                  <c:pt idx="9">
                    <c:v>32</c:v>
                  </c:pt>
                  <c:pt idx="10">
                    <c:v>64</c:v>
                  </c:pt>
                  <c:pt idx="11">
                    <c:v>128</c:v>
                  </c:pt>
                  <c:pt idx="12">
                    <c:v>16</c:v>
                  </c:pt>
                  <c:pt idx="13">
                    <c:v>32</c:v>
                  </c:pt>
                  <c:pt idx="14">
                    <c:v>64</c:v>
                  </c:pt>
                  <c:pt idx="15">
                    <c:v>128</c:v>
                  </c:pt>
                  <c:pt idx="16">
                    <c:v>16</c:v>
                  </c:pt>
                  <c:pt idx="17">
                    <c:v>32</c:v>
                  </c:pt>
                  <c:pt idx="18">
                    <c:v>64</c:v>
                  </c:pt>
                  <c:pt idx="19">
                    <c:v>128</c:v>
                  </c:pt>
                </c:lvl>
                <c:lvl>
                  <c:pt idx="0">
                    <c:v>specbzip</c:v>
                  </c:pt>
                  <c:pt idx="4">
                    <c:v>spechmmer</c:v>
                  </c:pt>
                  <c:pt idx="8">
                    <c:v>speclibm</c:v>
                  </c:pt>
                  <c:pt idx="12">
                    <c:v>specmcf</c:v>
                  </c:pt>
                  <c:pt idx="16">
                    <c:v>specsjeng</c:v>
                  </c:pt>
                </c:lvl>
              </c:multiLvlStrCache>
            </c:multiLvlStrRef>
          </c:cat>
          <c:val>
            <c:numRef>
              <c:f>'l1d-l1i w (2)'!$E$6:$E$31</c:f>
              <c:numCache>
                <c:formatCode>General</c:formatCode>
                <c:ptCount val="20"/>
                <c:pt idx="0">
                  <c:v>1.8594359999999999</c:v>
                </c:pt>
                <c:pt idx="1">
                  <c:v>1.8669890000000002</c:v>
                </c:pt>
                <c:pt idx="2">
                  <c:v>2.2699889999999998</c:v>
                </c:pt>
                <c:pt idx="3">
                  <c:v>2.5519000000000003</c:v>
                </c:pt>
                <c:pt idx="4">
                  <c:v>1.5822769999999999</c:v>
                </c:pt>
                <c:pt idx="5">
                  <c:v>1.591928</c:v>
                </c:pt>
                <c:pt idx="6">
                  <c:v>1.999986</c:v>
                </c:pt>
                <c:pt idx="7">
                  <c:v>2.2838180000000001</c:v>
                </c:pt>
                <c:pt idx="8">
                  <c:v>1.6771379999999998</c:v>
                </c:pt>
                <c:pt idx="9">
                  <c:v>1.6846560000000002</c:v>
                </c:pt>
                <c:pt idx="10">
                  <c:v>2.0876380000000001</c:v>
                </c:pt>
                <c:pt idx="11">
                  <c:v>2.3695490000000001</c:v>
                </c:pt>
                <c:pt idx="12">
                  <c:v>1.802584</c:v>
                </c:pt>
                <c:pt idx="13">
                  <c:v>1.8937970000000002</c:v>
                </c:pt>
                <c:pt idx="14">
                  <c:v>2.3050229999999998</c:v>
                </c:pt>
                <c:pt idx="15">
                  <c:v>2.586964</c:v>
                </c:pt>
                <c:pt idx="16">
                  <c:v>1.9253149999999999</c:v>
                </c:pt>
                <c:pt idx="17">
                  <c:v>1.933405</c:v>
                </c:pt>
                <c:pt idx="18">
                  <c:v>2.3367839999999998</c:v>
                </c:pt>
                <c:pt idx="19">
                  <c:v>2.6187080000000003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36-4A22-B97F-CBE70240A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4022528"/>
        <c:axId val="284022856"/>
      </c:barChart>
      <c:catAx>
        <c:axId val="28402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84022856"/>
        <c:crosses val="autoZero"/>
        <c:auto val="1"/>
        <c:lblAlgn val="ctr"/>
        <c:lblOffset val="100"/>
        <c:noMultiLvlLbl val="0"/>
      </c:catAx>
      <c:valAx>
        <c:axId val="284022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[W]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8402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5258624031902228"/>
          <c:y val="7.5404379816257361E-2"/>
          <c:w val="0.17335991852132199"/>
          <c:h val="0.13543666237499286"/>
        </c:manualLayout>
      </c:layout>
      <c:overlay val="1"/>
      <c:spPr>
        <a:solidFill>
          <a:schemeClr val="bg1"/>
        </a:solidFill>
        <a:ln w="12700"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l-G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600"/>
      </a:pPr>
      <a:endParaRPr lang="el-GR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[data_summary.xlsm]l1d-l1i area!PivotTable1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'l1d-l1i area'!$B$4:$B$5</c:f>
              <c:strCache>
                <c:ptCount val="1"/>
                <c:pt idx="0">
                  <c:v>16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'l1d-l1i area'!$A$6:$A$31</c:f>
              <c:multiLvlStrCache>
                <c:ptCount val="20"/>
                <c:lvl>
                  <c:pt idx="0">
                    <c:v>16</c:v>
                  </c:pt>
                  <c:pt idx="1">
                    <c:v>32</c:v>
                  </c:pt>
                  <c:pt idx="2">
                    <c:v>64</c:v>
                  </c:pt>
                  <c:pt idx="3">
                    <c:v>128</c:v>
                  </c:pt>
                  <c:pt idx="4">
                    <c:v>16</c:v>
                  </c:pt>
                  <c:pt idx="5">
                    <c:v>32</c:v>
                  </c:pt>
                  <c:pt idx="6">
                    <c:v>64</c:v>
                  </c:pt>
                  <c:pt idx="7">
                    <c:v>128</c:v>
                  </c:pt>
                  <c:pt idx="8">
                    <c:v>16</c:v>
                  </c:pt>
                  <c:pt idx="9">
                    <c:v>32</c:v>
                  </c:pt>
                  <c:pt idx="10">
                    <c:v>64</c:v>
                  </c:pt>
                  <c:pt idx="11">
                    <c:v>128</c:v>
                  </c:pt>
                  <c:pt idx="12">
                    <c:v>16</c:v>
                  </c:pt>
                  <c:pt idx="13">
                    <c:v>32</c:v>
                  </c:pt>
                  <c:pt idx="14">
                    <c:v>64</c:v>
                  </c:pt>
                  <c:pt idx="15">
                    <c:v>128</c:v>
                  </c:pt>
                  <c:pt idx="16">
                    <c:v>16</c:v>
                  </c:pt>
                  <c:pt idx="17">
                    <c:v>32</c:v>
                  </c:pt>
                  <c:pt idx="18">
                    <c:v>64</c:v>
                  </c:pt>
                  <c:pt idx="19">
                    <c:v>128</c:v>
                  </c:pt>
                </c:lvl>
                <c:lvl>
                  <c:pt idx="0">
                    <c:v>specbzip</c:v>
                  </c:pt>
                  <c:pt idx="4">
                    <c:v>spechmmer</c:v>
                  </c:pt>
                  <c:pt idx="8">
                    <c:v>speclibm</c:v>
                  </c:pt>
                  <c:pt idx="12">
                    <c:v>specmcf</c:v>
                  </c:pt>
                  <c:pt idx="16">
                    <c:v>specsjeng</c:v>
                  </c:pt>
                </c:lvl>
              </c:multiLvlStrCache>
            </c:multiLvlStrRef>
          </c:cat>
          <c:val>
            <c:numRef>
              <c:f>'l1d-l1i area'!$B$6:$B$31</c:f>
              <c:numCache>
                <c:formatCode>General</c:formatCode>
                <c:ptCount val="20"/>
                <c:pt idx="0">
                  <c:v>8.2387999999999995</c:v>
                </c:pt>
                <c:pt idx="1">
                  <c:v>8.2864199999999997</c:v>
                </c:pt>
                <c:pt idx="2">
                  <c:v>10.6753</c:v>
                </c:pt>
                <c:pt idx="3">
                  <c:v>13.0039</c:v>
                </c:pt>
                <c:pt idx="4">
                  <c:v>8.2387999999999995</c:v>
                </c:pt>
                <c:pt idx="5">
                  <c:v>8.2864199999999997</c:v>
                </c:pt>
                <c:pt idx="6">
                  <c:v>10.6753</c:v>
                </c:pt>
                <c:pt idx="7">
                  <c:v>13.0039</c:v>
                </c:pt>
                <c:pt idx="8">
                  <c:v>8.2387999999999995</c:v>
                </c:pt>
                <c:pt idx="9">
                  <c:v>8.2864199999999997</c:v>
                </c:pt>
                <c:pt idx="10">
                  <c:v>10.6753</c:v>
                </c:pt>
                <c:pt idx="11">
                  <c:v>13.0039</c:v>
                </c:pt>
                <c:pt idx="12">
                  <c:v>8.2387999999999995</c:v>
                </c:pt>
                <c:pt idx="13">
                  <c:v>8.2864199999999997</c:v>
                </c:pt>
                <c:pt idx="14">
                  <c:v>10.6753</c:v>
                </c:pt>
                <c:pt idx="15">
                  <c:v>13.0039</c:v>
                </c:pt>
                <c:pt idx="16">
                  <c:v>8.2387999999999995</c:v>
                </c:pt>
                <c:pt idx="17">
                  <c:v>8.2864199999999997</c:v>
                </c:pt>
                <c:pt idx="18">
                  <c:v>10.6753</c:v>
                </c:pt>
                <c:pt idx="19">
                  <c:v>13.0039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9D-476A-A394-0DF6FB0E1ABA}"/>
            </c:ext>
          </c:extLst>
        </c:ser>
        <c:ser>
          <c:idx val="1"/>
          <c:order val="1"/>
          <c:tx>
            <c:strRef>
              <c:f>'l1d-l1i area'!$C$4:$C$5</c:f>
              <c:strCache>
                <c:ptCount val="1"/>
                <c:pt idx="0">
                  <c:v>32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'l1d-l1i area'!$A$6:$A$31</c:f>
              <c:multiLvlStrCache>
                <c:ptCount val="20"/>
                <c:lvl>
                  <c:pt idx="0">
                    <c:v>16</c:v>
                  </c:pt>
                  <c:pt idx="1">
                    <c:v>32</c:v>
                  </c:pt>
                  <c:pt idx="2">
                    <c:v>64</c:v>
                  </c:pt>
                  <c:pt idx="3">
                    <c:v>128</c:v>
                  </c:pt>
                  <c:pt idx="4">
                    <c:v>16</c:v>
                  </c:pt>
                  <c:pt idx="5">
                    <c:v>32</c:v>
                  </c:pt>
                  <c:pt idx="6">
                    <c:v>64</c:v>
                  </c:pt>
                  <c:pt idx="7">
                    <c:v>128</c:v>
                  </c:pt>
                  <c:pt idx="8">
                    <c:v>16</c:v>
                  </c:pt>
                  <c:pt idx="9">
                    <c:v>32</c:v>
                  </c:pt>
                  <c:pt idx="10">
                    <c:v>64</c:v>
                  </c:pt>
                  <c:pt idx="11">
                    <c:v>128</c:v>
                  </c:pt>
                  <c:pt idx="12">
                    <c:v>16</c:v>
                  </c:pt>
                  <c:pt idx="13">
                    <c:v>32</c:v>
                  </c:pt>
                  <c:pt idx="14">
                    <c:v>64</c:v>
                  </c:pt>
                  <c:pt idx="15">
                    <c:v>128</c:v>
                  </c:pt>
                  <c:pt idx="16">
                    <c:v>16</c:v>
                  </c:pt>
                  <c:pt idx="17">
                    <c:v>32</c:v>
                  </c:pt>
                  <c:pt idx="18">
                    <c:v>64</c:v>
                  </c:pt>
                  <c:pt idx="19">
                    <c:v>128</c:v>
                  </c:pt>
                </c:lvl>
                <c:lvl>
                  <c:pt idx="0">
                    <c:v>specbzip</c:v>
                  </c:pt>
                  <c:pt idx="4">
                    <c:v>spechmmer</c:v>
                  </c:pt>
                  <c:pt idx="8">
                    <c:v>speclibm</c:v>
                  </c:pt>
                  <c:pt idx="12">
                    <c:v>specmcf</c:v>
                  </c:pt>
                  <c:pt idx="16">
                    <c:v>specsjeng</c:v>
                  </c:pt>
                </c:lvl>
              </c:multiLvlStrCache>
            </c:multiLvlStrRef>
          </c:cat>
          <c:val>
            <c:numRef>
              <c:f>'l1d-l1i area'!$C$6:$C$31</c:f>
              <c:numCache>
                <c:formatCode>General</c:formatCode>
                <c:ptCount val="20"/>
                <c:pt idx="0">
                  <c:v>8.2911800000000007</c:v>
                </c:pt>
                <c:pt idx="1">
                  <c:v>8.3388000000000009</c:v>
                </c:pt>
                <c:pt idx="2">
                  <c:v>10.7277</c:v>
                </c:pt>
                <c:pt idx="3">
                  <c:v>13.0563</c:v>
                </c:pt>
                <c:pt idx="4">
                  <c:v>8.2911800000000007</c:v>
                </c:pt>
                <c:pt idx="5">
                  <c:v>8.3388000000000009</c:v>
                </c:pt>
                <c:pt idx="6">
                  <c:v>10.7277</c:v>
                </c:pt>
                <c:pt idx="7">
                  <c:v>13.0563</c:v>
                </c:pt>
                <c:pt idx="8">
                  <c:v>8.2911800000000007</c:v>
                </c:pt>
                <c:pt idx="9">
                  <c:v>8.3388000000000009</c:v>
                </c:pt>
                <c:pt idx="10">
                  <c:v>10.7277</c:v>
                </c:pt>
                <c:pt idx="11">
                  <c:v>13.0563</c:v>
                </c:pt>
                <c:pt idx="12">
                  <c:v>8.2911800000000007</c:v>
                </c:pt>
                <c:pt idx="13">
                  <c:v>8.3388000000000009</c:v>
                </c:pt>
                <c:pt idx="14">
                  <c:v>10.7277</c:v>
                </c:pt>
                <c:pt idx="15">
                  <c:v>13.0563</c:v>
                </c:pt>
                <c:pt idx="16">
                  <c:v>8.2911800000000007</c:v>
                </c:pt>
                <c:pt idx="17">
                  <c:v>8.3388000000000009</c:v>
                </c:pt>
                <c:pt idx="18">
                  <c:v>10.7277</c:v>
                </c:pt>
                <c:pt idx="19">
                  <c:v>13.0563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9D-476A-A394-0DF6FB0E1ABA}"/>
            </c:ext>
          </c:extLst>
        </c:ser>
        <c:ser>
          <c:idx val="2"/>
          <c:order val="2"/>
          <c:tx>
            <c:strRef>
              <c:f>'l1d-l1i area'!$D$4:$D$5</c:f>
              <c:strCache>
                <c:ptCount val="1"/>
                <c:pt idx="0">
                  <c:v>64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'l1d-l1i area'!$A$6:$A$31</c:f>
              <c:multiLvlStrCache>
                <c:ptCount val="20"/>
                <c:lvl>
                  <c:pt idx="0">
                    <c:v>16</c:v>
                  </c:pt>
                  <c:pt idx="1">
                    <c:v>32</c:v>
                  </c:pt>
                  <c:pt idx="2">
                    <c:v>64</c:v>
                  </c:pt>
                  <c:pt idx="3">
                    <c:v>128</c:v>
                  </c:pt>
                  <c:pt idx="4">
                    <c:v>16</c:v>
                  </c:pt>
                  <c:pt idx="5">
                    <c:v>32</c:v>
                  </c:pt>
                  <c:pt idx="6">
                    <c:v>64</c:v>
                  </c:pt>
                  <c:pt idx="7">
                    <c:v>128</c:v>
                  </c:pt>
                  <c:pt idx="8">
                    <c:v>16</c:v>
                  </c:pt>
                  <c:pt idx="9">
                    <c:v>32</c:v>
                  </c:pt>
                  <c:pt idx="10">
                    <c:v>64</c:v>
                  </c:pt>
                  <c:pt idx="11">
                    <c:v>128</c:v>
                  </c:pt>
                  <c:pt idx="12">
                    <c:v>16</c:v>
                  </c:pt>
                  <c:pt idx="13">
                    <c:v>32</c:v>
                  </c:pt>
                  <c:pt idx="14">
                    <c:v>64</c:v>
                  </c:pt>
                  <c:pt idx="15">
                    <c:v>128</c:v>
                  </c:pt>
                  <c:pt idx="16">
                    <c:v>16</c:v>
                  </c:pt>
                  <c:pt idx="17">
                    <c:v>32</c:v>
                  </c:pt>
                  <c:pt idx="18">
                    <c:v>64</c:v>
                  </c:pt>
                  <c:pt idx="19">
                    <c:v>128</c:v>
                  </c:pt>
                </c:lvl>
                <c:lvl>
                  <c:pt idx="0">
                    <c:v>specbzip</c:v>
                  </c:pt>
                  <c:pt idx="4">
                    <c:v>spechmmer</c:v>
                  </c:pt>
                  <c:pt idx="8">
                    <c:v>speclibm</c:v>
                  </c:pt>
                  <c:pt idx="12">
                    <c:v>specmcf</c:v>
                  </c:pt>
                  <c:pt idx="16">
                    <c:v>specsjeng</c:v>
                  </c:pt>
                </c:lvl>
              </c:multiLvlStrCache>
            </c:multiLvlStrRef>
          </c:cat>
          <c:val>
            <c:numRef>
              <c:f>'l1d-l1i area'!$D$6:$D$31</c:f>
              <c:numCache>
                <c:formatCode>General</c:formatCode>
                <c:ptCount val="20"/>
                <c:pt idx="0">
                  <c:v>10.918900000000001</c:v>
                </c:pt>
                <c:pt idx="1">
                  <c:v>10.9665</c:v>
                </c:pt>
                <c:pt idx="2">
                  <c:v>13.355399999999999</c:v>
                </c:pt>
                <c:pt idx="3">
                  <c:v>15.683999999999999</c:v>
                </c:pt>
                <c:pt idx="4">
                  <c:v>10.918900000000001</c:v>
                </c:pt>
                <c:pt idx="5">
                  <c:v>10.9665</c:v>
                </c:pt>
                <c:pt idx="6">
                  <c:v>13.355399999999999</c:v>
                </c:pt>
                <c:pt idx="7">
                  <c:v>15.683999999999999</c:v>
                </c:pt>
                <c:pt idx="8">
                  <c:v>10.918900000000001</c:v>
                </c:pt>
                <c:pt idx="9">
                  <c:v>10.9665</c:v>
                </c:pt>
                <c:pt idx="10">
                  <c:v>13.355399999999999</c:v>
                </c:pt>
                <c:pt idx="11">
                  <c:v>15.683999999999999</c:v>
                </c:pt>
                <c:pt idx="12">
                  <c:v>10.918900000000001</c:v>
                </c:pt>
                <c:pt idx="13">
                  <c:v>10.9665</c:v>
                </c:pt>
                <c:pt idx="14">
                  <c:v>13.355399999999999</c:v>
                </c:pt>
                <c:pt idx="15">
                  <c:v>15.683999999999999</c:v>
                </c:pt>
                <c:pt idx="16">
                  <c:v>10.918900000000001</c:v>
                </c:pt>
                <c:pt idx="17">
                  <c:v>10.9665</c:v>
                </c:pt>
                <c:pt idx="18">
                  <c:v>13.355399999999999</c:v>
                </c:pt>
                <c:pt idx="19">
                  <c:v>15.683999999999999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9D-476A-A394-0DF6FB0E1ABA}"/>
            </c:ext>
          </c:extLst>
        </c:ser>
        <c:ser>
          <c:idx val="3"/>
          <c:order val="3"/>
          <c:tx>
            <c:strRef>
              <c:f>'l1d-l1i area'!$E$4:$E$5</c:f>
              <c:strCache>
                <c:ptCount val="1"/>
                <c:pt idx="0">
                  <c:v>128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'l1d-l1i area'!$A$6:$A$31</c:f>
              <c:multiLvlStrCache>
                <c:ptCount val="20"/>
                <c:lvl>
                  <c:pt idx="0">
                    <c:v>16</c:v>
                  </c:pt>
                  <c:pt idx="1">
                    <c:v>32</c:v>
                  </c:pt>
                  <c:pt idx="2">
                    <c:v>64</c:v>
                  </c:pt>
                  <c:pt idx="3">
                    <c:v>128</c:v>
                  </c:pt>
                  <c:pt idx="4">
                    <c:v>16</c:v>
                  </c:pt>
                  <c:pt idx="5">
                    <c:v>32</c:v>
                  </c:pt>
                  <c:pt idx="6">
                    <c:v>64</c:v>
                  </c:pt>
                  <c:pt idx="7">
                    <c:v>128</c:v>
                  </c:pt>
                  <c:pt idx="8">
                    <c:v>16</c:v>
                  </c:pt>
                  <c:pt idx="9">
                    <c:v>32</c:v>
                  </c:pt>
                  <c:pt idx="10">
                    <c:v>64</c:v>
                  </c:pt>
                  <c:pt idx="11">
                    <c:v>128</c:v>
                  </c:pt>
                  <c:pt idx="12">
                    <c:v>16</c:v>
                  </c:pt>
                  <c:pt idx="13">
                    <c:v>32</c:v>
                  </c:pt>
                  <c:pt idx="14">
                    <c:v>64</c:v>
                  </c:pt>
                  <c:pt idx="15">
                    <c:v>128</c:v>
                  </c:pt>
                  <c:pt idx="16">
                    <c:v>16</c:v>
                  </c:pt>
                  <c:pt idx="17">
                    <c:v>32</c:v>
                  </c:pt>
                  <c:pt idx="18">
                    <c:v>64</c:v>
                  </c:pt>
                  <c:pt idx="19">
                    <c:v>128</c:v>
                  </c:pt>
                </c:lvl>
                <c:lvl>
                  <c:pt idx="0">
                    <c:v>specbzip</c:v>
                  </c:pt>
                  <c:pt idx="4">
                    <c:v>spechmmer</c:v>
                  </c:pt>
                  <c:pt idx="8">
                    <c:v>speclibm</c:v>
                  </c:pt>
                  <c:pt idx="12">
                    <c:v>specmcf</c:v>
                  </c:pt>
                  <c:pt idx="16">
                    <c:v>specsjeng</c:v>
                  </c:pt>
                </c:lvl>
              </c:multiLvlStrCache>
            </c:multiLvlStrRef>
          </c:cat>
          <c:val>
            <c:numRef>
              <c:f>'l1d-l1i area'!$E$6:$E$31</c:f>
              <c:numCache>
                <c:formatCode>General</c:formatCode>
                <c:ptCount val="20"/>
                <c:pt idx="0">
                  <c:v>13.480399999999999</c:v>
                </c:pt>
                <c:pt idx="1">
                  <c:v>13.528</c:v>
                </c:pt>
                <c:pt idx="2">
                  <c:v>15.9169</c:v>
                </c:pt>
                <c:pt idx="3">
                  <c:v>18.2455</c:v>
                </c:pt>
                <c:pt idx="4">
                  <c:v>13.480399999999999</c:v>
                </c:pt>
                <c:pt idx="5">
                  <c:v>13.528</c:v>
                </c:pt>
                <c:pt idx="6">
                  <c:v>15.9169</c:v>
                </c:pt>
                <c:pt idx="7">
                  <c:v>18.2455</c:v>
                </c:pt>
                <c:pt idx="8">
                  <c:v>13.480399999999999</c:v>
                </c:pt>
                <c:pt idx="9">
                  <c:v>13.528</c:v>
                </c:pt>
                <c:pt idx="10">
                  <c:v>15.9169</c:v>
                </c:pt>
                <c:pt idx="11">
                  <c:v>18.2455</c:v>
                </c:pt>
                <c:pt idx="12">
                  <c:v>13.480399999999999</c:v>
                </c:pt>
                <c:pt idx="13">
                  <c:v>13.528</c:v>
                </c:pt>
                <c:pt idx="14">
                  <c:v>15.9169</c:v>
                </c:pt>
                <c:pt idx="15">
                  <c:v>18.2455</c:v>
                </c:pt>
                <c:pt idx="16">
                  <c:v>13.480399999999999</c:v>
                </c:pt>
                <c:pt idx="17">
                  <c:v>13.528</c:v>
                </c:pt>
                <c:pt idx="18">
                  <c:v>15.9169</c:v>
                </c:pt>
                <c:pt idx="19">
                  <c:v>18.2455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49D-476A-A394-0DF6FB0E1A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4022528"/>
        <c:axId val="284022856"/>
      </c:barChart>
      <c:catAx>
        <c:axId val="28402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84022856"/>
        <c:crosses val="autoZero"/>
        <c:auto val="1"/>
        <c:lblAlgn val="ctr"/>
        <c:lblOffset val="100"/>
        <c:noMultiLvlLbl val="0"/>
      </c:catAx>
      <c:valAx>
        <c:axId val="284022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Area [mm²]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8402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9783829190167171"/>
          <c:y val="4.7912974187662639E-2"/>
          <c:w val="0.12959282199924307"/>
          <c:h val="0.1262728604987946"/>
        </c:manualLayout>
      </c:layout>
      <c:overlay val="1"/>
      <c:spPr>
        <a:solidFill>
          <a:schemeClr val="bg1"/>
        </a:solidFill>
        <a:ln w="12700"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l-G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600"/>
      </a:pPr>
      <a:endParaRPr lang="el-GR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[data_summary.xlsm]l1d-l1i perf!PivotTable1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'l1d-l1i perf'!$B$4:$B$5</c:f>
              <c:strCache>
                <c:ptCount val="1"/>
                <c:pt idx="0">
                  <c:v>16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'l1d-l1i perf'!$A$6:$A$31</c:f>
              <c:multiLvlStrCache>
                <c:ptCount val="20"/>
                <c:lvl>
                  <c:pt idx="0">
                    <c:v>16</c:v>
                  </c:pt>
                  <c:pt idx="1">
                    <c:v>32</c:v>
                  </c:pt>
                  <c:pt idx="2">
                    <c:v>64</c:v>
                  </c:pt>
                  <c:pt idx="3">
                    <c:v>128</c:v>
                  </c:pt>
                  <c:pt idx="4">
                    <c:v>16</c:v>
                  </c:pt>
                  <c:pt idx="5">
                    <c:v>32</c:v>
                  </c:pt>
                  <c:pt idx="6">
                    <c:v>64</c:v>
                  </c:pt>
                  <c:pt idx="7">
                    <c:v>128</c:v>
                  </c:pt>
                  <c:pt idx="8">
                    <c:v>16</c:v>
                  </c:pt>
                  <c:pt idx="9">
                    <c:v>32</c:v>
                  </c:pt>
                  <c:pt idx="10">
                    <c:v>64</c:v>
                  </c:pt>
                  <c:pt idx="11">
                    <c:v>128</c:v>
                  </c:pt>
                  <c:pt idx="12">
                    <c:v>16</c:v>
                  </c:pt>
                  <c:pt idx="13">
                    <c:v>32</c:v>
                  </c:pt>
                  <c:pt idx="14">
                    <c:v>64</c:v>
                  </c:pt>
                  <c:pt idx="15">
                    <c:v>128</c:v>
                  </c:pt>
                  <c:pt idx="16">
                    <c:v>16</c:v>
                  </c:pt>
                  <c:pt idx="17">
                    <c:v>32</c:v>
                  </c:pt>
                  <c:pt idx="18">
                    <c:v>64</c:v>
                  </c:pt>
                  <c:pt idx="19">
                    <c:v>128</c:v>
                  </c:pt>
                </c:lvl>
                <c:lvl>
                  <c:pt idx="0">
                    <c:v>specbzip</c:v>
                  </c:pt>
                  <c:pt idx="4">
                    <c:v>spechmmer</c:v>
                  </c:pt>
                  <c:pt idx="8">
                    <c:v>speclibm</c:v>
                  </c:pt>
                  <c:pt idx="12">
                    <c:v>specmcf</c:v>
                  </c:pt>
                  <c:pt idx="16">
                    <c:v>specsjeng</c:v>
                  </c:pt>
                </c:lvl>
              </c:multiLvlStrCache>
            </c:multiLvlStrRef>
          </c:cat>
          <c:val>
            <c:numRef>
              <c:f>'l1d-l1i perf'!$B$6:$B$31</c:f>
              <c:numCache>
                <c:formatCode>General</c:formatCode>
                <c:ptCount val="20"/>
                <c:pt idx="0">
                  <c:v>6.5937982505308108</c:v>
                </c:pt>
                <c:pt idx="1">
                  <c:v>6.53702657815768</c:v>
                </c:pt>
                <c:pt idx="2">
                  <c:v>4.4553631335702359</c:v>
                </c:pt>
                <c:pt idx="3">
                  <c:v>3.6438387396573964</c:v>
                </c:pt>
                <c:pt idx="4">
                  <c:v>10.070696287941349</c:v>
                </c:pt>
                <c:pt idx="5">
                  <c:v>9.9938038416181971</c:v>
                </c:pt>
                <c:pt idx="6">
                  <c:v>6.7926476381964171</c:v>
                </c:pt>
                <c:pt idx="7">
                  <c:v>5.5173631418072677</c:v>
                </c:pt>
                <c:pt idx="8">
                  <c:v>1.6895049325468197</c:v>
                </c:pt>
                <c:pt idx="9">
                  <c:v>1.6738525995692473</c:v>
                </c:pt>
                <c:pt idx="10">
                  <c:v>1.1345712844841171</c:v>
                </c:pt>
                <c:pt idx="11">
                  <c:v>0.92628754257883317</c:v>
                </c:pt>
                <c:pt idx="12">
                  <c:v>7.8359759718259667</c:v>
                </c:pt>
                <c:pt idx="13">
                  <c:v>9.8622714073421847</c:v>
                </c:pt>
                <c:pt idx="14">
                  <c:v>6.9309601651797506</c:v>
                </c:pt>
                <c:pt idx="15">
                  <c:v>5.688342516764143</c:v>
                </c:pt>
                <c:pt idx="16">
                  <c:v>9.1249414726253946</c:v>
                </c:pt>
                <c:pt idx="17">
                  <c:v>9.0579679787607326</c:v>
                </c:pt>
                <c:pt idx="18">
                  <c:v>6.2083340465157075</c:v>
                </c:pt>
                <c:pt idx="19">
                  <c:v>5.087440821552911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29-40C9-9D1E-34091C4B041C}"/>
            </c:ext>
          </c:extLst>
        </c:ser>
        <c:ser>
          <c:idx val="1"/>
          <c:order val="1"/>
          <c:tx>
            <c:strRef>
              <c:f>'l1d-l1i perf'!$C$4:$C$5</c:f>
              <c:strCache>
                <c:ptCount val="1"/>
                <c:pt idx="0">
                  <c:v>32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'l1d-l1i perf'!$A$6:$A$31</c:f>
              <c:multiLvlStrCache>
                <c:ptCount val="20"/>
                <c:lvl>
                  <c:pt idx="0">
                    <c:v>16</c:v>
                  </c:pt>
                  <c:pt idx="1">
                    <c:v>32</c:v>
                  </c:pt>
                  <c:pt idx="2">
                    <c:v>64</c:v>
                  </c:pt>
                  <c:pt idx="3">
                    <c:v>128</c:v>
                  </c:pt>
                  <c:pt idx="4">
                    <c:v>16</c:v>
                  </c:pt>
                  <c:pt idx="5">
                    <c:v>32</c:v>
                  </c:pt>
                  <c:pt idx="6">
                    <c:v>64</c:v>
                  </c:pt>
                  <c:pt idx="7">
                    <c:v>128</c:v>
                  </c:pt>
                  <c:pt idx="8">
                    <c:v>16</c:v>
                  </c:pt>
                  <c:pt idx="9">
                    <c:v>32</c:v>
                  </c:pt>
                  <c:pt idx="10">
                    <c:v>64</c:v>
                  </c:pt>
                  <c:pt idx="11">
                    <c:v>128</c:v>
                  </c:pt>
                  <c:pt idx="12">
                    <c:v>16</c:v>
                  </c:pt>
                  <c:pt idx="13">
                    <c:v>32</c:v>
                  </c:pt>
                  <c:pt idx="14">
                    <c:v>64</c:v>
                  </c:pt>
                  <c:pt idx="15">
                    <c:v>128</c:v>
                  </c:pt>
                  <c:pt idx="16">
                    <c:v>16</c:v>
                  </c:pt>
                  <c:pt idx="17">
                    <c:v>32</c:v>
                  </c:pt>
                  <c:pt idx="18">
                    <c:v>64</c:v>
                  </c:pt>
                  <c:pt idx="19">
                    <c:v>128</c:v>
                  </c:pt>
                </c:lvl>
                <c:lvl>
                  <c:pt idx="0">
                    <c:v>specbzip</c:v>
                  </c:pt>
                  <c:pt idx="4">
                    <c:v>spechmmer</c:v>
                  </c:pt>
                  <c:pt idx="8">
                    <c:v>speclibm</c:v>
                  </c:pt>
                  <c:pt idx="12">
                    <c:v>specmcf</c:v>
                  </c:pt>
                  <c:pt idx="16">
                    <c:v>specsjeng</c:v>
                  </c:pt>
                </c:lvl>
              </c:multiLvlStrCache>
            </c:multiLvlStrRef>
          </c:cat>
          <c:val>
            <c:numRef>
              <c:f>'l1d-l1i perf'!$C$6:$C$31</c:f>
              <c:numCache>
                <c:formatCode>General</c:formatCode>
                <c:ptCount val="20"/>
                <c:pt idx="0">
                  <c:v>6.6908430466922422</c:v>
                </c:pt>
                <c:pt idx="1">
                  <c:v>6.6338943000790751</c:v>
                </c:pt>
                <c:pt idx="2">
                  <c:v>4.5379184037345617</c:v>
                </c:pt>
                <c:pt idx="3">
                  <c:v>3.7164724569476024</c:v>
                </c:pt>
                <c:pt idx="4">
                  <c:v>9.9810360315400732</c:v>
                </c:pt>
                <c:pt idx="5">
                  <c:v>10.063804520660991</c:v>
                </c:pt>
                <c:pt idx="6">
                  <c:v>6.8626643608114408</c:v>
                </c:pt>
                <c:pt idx="7">
                  <c:v>5.5807308525124455</c:v>
                </c:pt>
                <c:pt idx="8">
                  <c:v>1.6689377237423808</c:v>
                </c:pt>
                <c:pt idx="9">
                  <c:v>1.6543348658082386</c:v>
                </c:pt>
                <c:pt idx="10">
                  <c:v>1.1257961638914511</c:v>
                </c:pt>
                <c:pt idx="11">
                  <c:v>0.92014261319806512</c:v>
                </c:pt>
                <c:pt idx="12">
                  <c:v>7.8251779498285741</c:v>
                </c:pt>
                <c:pt idx="13">
                  <c:v>9.8830553868957249</c:v>
                </c:pt>
                <c:pt idx="14">
                  <c:v>6.9717551818250136</c:v>
                </c:pt>
                <c:pt idx="15">
                  <c:v>5.7300215649934607</c:v>
                </c:pt>
                <c:pt idx="16">
                  <c:v>9.2030858388565804</c:v>
                </c:pt>
                <c:pt idx="17">
                  <c:v>9.1369094429392597</c:v>
                </c:pt>
                <c:pt idx="18">
                  <c:v>6.2883041435390439</c:v>
                </c:pt>
                <c:pt idx="19">
                  <c:v>5.161012014175359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E29-40C9-9D1E-34091C4B041C}"/>
            </c:ext>
          </c:extLst>
        </c:ser>
        <c:ser>
          <c:idx val="2"/>
          <c:order val="2"/>
          <c:tx>
            <c:strRef>
              <c:f>'l1d-l1i perf'!$D$4:$D$5</c:f>
              <c:strCache>
                <c:ptCount val="1"/>
                <c:pt idx="0">
                  <c:v>64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'l1d-l1i perf'!$A$6:$A$31</c:f>
              <c:multiLvlStrCache>
                <c:ptCount val="20"/>
                <c:lvl>
                  <c:pt idx="0">
                    <c:v>16</c:v>
                  </c:pt>
                  <c:pt idx="1">
                    <c:v>32</c:v>
                  </c:pt>
                  <c:pt idx="2">
                    <c:v>64</c:v>
                  </c:pt>
                  <c:pt idx="3">
                    <c:v>128</c:v>
                  </c:pt>
                  <c:pt idx="4">
                    <c:v>16</c:v>
                  </c:pt>
                  <c:pt idx="5">
                    <c:v>32</c:v>
                  </c:pt>
                  <c:pt idx="6">
                    <c:v>64</c:v>
                  </c:pt>
                  <c:pt idx="7">
                    <c:v>128</c:v>
                  </c:pt>
                  <c:pt idx="8">
                    <c:v>16</c:v>
                  </c:pt>
                  <c:pt idx="9">
                    <c:v>32</c:v>
                  </c:pt>
                  <c:pt idx="10">
                    <c:v>64</c:v>
                  </c:pt>
                  <c:pt idx="11">
                    <c:v>128</c:v>
                  </c:pt>
                  <c:pt idx="12">
                    <c:v>16</c:v>
                  </c:pt>
                  <c:pt idx="13">
                    <c:v>32</c:v>
                  </c:pt>
                  <c:pt idx="14">
                    <c:v>64</c:v>
                  </c:pt>
                  <c:pt idx="15">
                    <c:v>128</c:v>
                  </c:pt>
                  <c:pt idx="16">
                    <c:v>16</c:v>
                  </c:pt>
                  <c:pt idx="17">
                    <c:v>32</c:v>
                  </c:pt>
                  <c:pt idx="18">
                    <c:v>64</c:v>
                  </c:pt>
                  <c:pt idx="19">
                    <c:v>128</c:v>
                  </c:pt>
                </c:lvl>
                <c:lvl>
                  <c:pt idx="0">
                    <c:v>specbzip</c:v>
                  </c:pt>
                  <c:pt idx="4">
                    <c:v>spechmmer</c:v>
                  </c:pt>
                  <c:pt idx="8">
                    <c:v>speclibm</c:v>
                  </c:pt>
                  <c:pt idx="12">
                    <c:v>specmcf</c:v>
                  </c:pt>
                  <c:pt idx="16">
                    <c:v>specsjeng</c:v>
                  </c:pt>
                </c:lvl>
              </c:multiLvlStrCache>
            </c:multiLvlStrRef>
          </c:cat>
          <c:val>
            <c:numRef>
              <c:f>'l1d-l1i perf'!$D$6:$D$31</c:f>
              <c:numCache>
                <c:formatCode>General</c:formatCode>
                <c:ptCount val="20"/>
                <c:pt idx="0">
                  <c:v>3.9827711691655767</c:v>
                </c:pt>
                <c:pt idx="1">
                  <c:v>3.9631705415060634</c:v>
                </c:pt>
                <c:pt idx="2">
                  <c:v>3.1192890009936405</c:v>
                </c:pt>
                <c:pt idx="3">
                  <c:v>2.714924367664115</c:v>
                </c:pt>
                <c:pt idx="4">
                  <c:v>6.5161862065370384</c:v>
                </c:pt>
                <c:pt idx="5">
                  <c:v>6.5838852823828402</c:v>
                </c:pt>
                <c:pt idx="6">
                  <c:v>5.0879710189170764</c:v>
                </c:pt>
                <c:pt idx="7">
                  <c:v>4.358475928137449</c:v>
                </c:pt>
                <c:pt idx="8">
                  <c:v>1.051242969976895</c:v>
                </c:pt>
                <c:pt idx="9">
                  <c:v>1.0454284809742163</c:v>
                </c:pt>
                <c:pt idx="10">
                  <c:v>0.80625034030819054</c:v>
                </c:pt>
                <c:pt idx="11">
                  <c:v>0.69500910265931926</c:v>
                </c:pt>
                <c:pt idx="12">
                  <c:v>4.7457047563526942</c:v>
                </c:pt>
                <c:pt idx="13">
                  <c:v>5.8576716417141084</c:v>
                </c:pt>
                <c:pt idx="14">
                  <c:v>4.7193373057474162</c:v>
                </c:pt>
                <c:pt idx="15">
                  <c:v>4.1167384341108502</c:v>
                </c:pt>
                <c:pt idx="16">
                  <c:v>5.3805875471391253</c:v>
                </c:pt>
                <c:pt idx="17">
                  <c:v>5.3606474474197006</c:v>
                </c:pt>
                <c:pt idx="18">
                  <c:v>4.253597600334615</c:v>
                </c:pt>
                <c:pt idx="19">
                  <c:v>3.7153285125236835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E29-40C9-9D1E-34091C4B041C}"/>
            </c:ext>
          </c:extLst>
        </c:ser>
        <c:ser>
          <c:idx val="3"/>
          <c:order val="3"/>
          <c:tx>
            <c:strRef>
              <c:f>'l1d-l1i perf'!$E$4:$E$5</c:f>
              <c:strCache>
                <c:ptCount val="1"/>
                <c:pt idx="0">
                  <c:v>128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'l1d-l1i perf'!$A$6:$A$31</c:f>
              <c:multiLvlStrCache>
                <c:ptCount val="20"/>
                <c:lvl>
                  <c:pt idx="0">
                    <c:v>16</c:v>
                  </c:pt>
                  <c:pt idx="1">
                    <c:v>32</c:v>
                  </c:pt>
                  <c:pt idx="2">
                    <c:v>64</c:v>
                  </c:pt>
                  <c:pt idx="3">
                    <c:v>128</c:v>
                  </c:pt>
                  <c:pt idx="4">
                    <c:v>16</c:v>
                  </c:pt>
                  <c:pt idx="5">
                    <c:v>32</c:v>
                  </c:pt>
                  <c:pt idx="6">
                    <c:v>64</c:v>
                  </c:pt>
                  <c:pt idx="7">
                    <c:v>128</c:v>
                  </c:pt>
                  <c:pt idx="8">
                    <c:v>16</c:v>
                  </c:pt>
                  <c:pt idx="9">
                    <c:v>32</c:v>
                  </c:pt>
                  <c:pt idx="10">
                    <c:v>64</c:v>
                  </c:pt>
                  <c:pt idx="11">
                    <c:v>128</c:v>
                  </c:pt>
                  <c:pt idx="12">
                    <c:v>16</c:v>
                  </c:pt>
                  <c:pt idx="13">
                    <c:v>32</c:v>
                  </c:pt>
                  <c:pt idx="14">
                    <c:v>64</c:v>
                  </c:pt>
                  <c:pt idx="15">
                    <c:v>128</c:v>
                  </c:pt>
                  <c:pt idx="16">
                    <c:v>16</c:v>
                  </c:pt>
                  <c:pt idx="17">
                    <c:v>32</c:v>
                  </c:pt>
                  <c:pt idx="18">
                    <c:v>64</c:v>
                  </c:pt>
                  <c:pt idx="19">
                    <c:v>128</c:v>
                  </c:pt>
                </c:lvl>
                <c:lvl>
                  <c:pt idx="0">
                    <c:v>specbzip</c:v>
                  </c:pt>
                  <c:pt idx="4">
                    <c:v>spechmmer</c:v>
                  </c:pt>
                  <c:pt idx="8">
                    <c:v>speclibm</c:v>
                  </c:pt>
                  <c:pt idx="12">
                    <c:v>specmcf</c:v>
                  </c:pt>
                  <c:pt idx="16">
                    <c:v>specsjeng</c:v>
                  </c:pt>
                </c:lvl>
              </c:multiLvlStrCache>
            </c:multiLvlStrRef>
          </c:cat>
          <c:val>
            <c:numRef>
              <c:f>'l1d-l1i perf'!$E$6:$E$31</c:f>
              <c:numCache>
                <c:formatCode>General</c:formatCode>
                <c:ptCount val="20"/>
                <c:pt idx="0">
                  <c:v>3.2449044413769643</c:v>
                </c:pt>
                <c:pt idx="1">
                  <c:v>3.2321670540111826</c:v>
                </c:pt>
                <c:pt idx="2">
                  <c:v>2.6584761709761415</c:v>
                </c:pt>
                <c:pt idx="3">
                  <c:v>2.364791592276728</c:v>
                </c:pt>
                <c:pt idx="4">
                  <c:v>5.266650515605086</c:v>
                </c:pt>
                <c:pt idx="5">
                  <c:v>5.3234530045568764</c:v>
                </c:pt>
                <c:pt idx="6">
                  <c:v>4.3103819860516035</c:v>
                </c:pt>
                <c:pt idx="7">
                  <c:v>3.7746959482413693</c:v>
                </c:pt>
                <c:pt idx="8">
                  <c:v>0.84677228264283988</c:v>
                </c:pt>
                <c:pt idx="9">
                  <c:v>0.8429898580261096</c:v>
                </c:pt>
                <c:pt idx="10">
                  <c:v>0.68026927577652629</c:v>
                </c:pt>
                <c:pt idx="11">
                  <c:v>0.5993385408584555</c:v>
                </c:pt>
                <c:pt idx="12">
                  <c:v>3.8167913146104473</c:v>
                </c:pt>
                <c:pt idx="13">
                  <c:v>4.7028410864708521</c:v>
                </c:pt>
                <c:pt idx="14">
                  <c:v>3.9523996698165318</c:v>
                </c:pt>
                <c:pt idx="15">
                  <c:v>3.5218708797962752</c:v>
                </c:pt>
                <c:pt idx="16">
                  <c:v>4.3578934270887038</c:v>
                </c:pt>
                <c:pt idx="17">
                  <c:v>4.3459303354581467</c:v>
                </c:pt>
                <c:pt idx="18">
                  <c:v>3.5994496441494097</c:v>
                </c:pt>
                <c:pt idx="19">
                  <c:v>3.2120493581877301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E29-40C9-9D1E-34091C4B04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4022528"/>
        <c:axId val="284022856"/>
      </c:barChart>
      <c:catAx>
        <c:axId val="28402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84022856"/>
        <c:crosses val="autoZero"/>
        <c:auto val="1"/>
        <c:lblAlgn val="ctr"/>
        <c:lblOffset val="100"/>
        <c:noMultiLvlLbl val="0"/>
      </c:catAx>
      <c:valAx>
        <c:axId val="284022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Energy Efficiency/Instructions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8402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8541156271058139"/>
          <c:y val="7.5404379816257361E-2"/>
          <c:w val="6.6691774899767076E-2"/>
          <c:h val="0.28003327831043545"/>
        </c:manualLayout>
      </c:layout>
      <c:overlay val="1"/>
      <c:spPr>
        <a:solidFill>
          <a:schemeClr val="bg1"/>
        </a:solidFill>
        <a:ln w="12700"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l-G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600"/>
      </a:pPr>
      <a:endParaRPr lang="el-GR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[data_summary.xlsm]l1d_assoc w (2)!PivotTable1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'l1d_assoc w (2)'!$B$4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'l1d_assoc w (2)'!$A$5:$A$25</c:f>
              <c:multiLvlStrCache>
                <c:ptCount val="15"/>
                <c:lvl>
                  <c:pt idx="0">
                    <c:v>1</c:v>
                  </c:pt>
                  <c:pt idx="1">
                    <c:v>2</c:v>
                  </c:pt>
                  <c:pt idx="2">
                    <c:v>4</c:v>
                  </c:pt>
                  <c:pt idx="3">
                    <c:v>1</c:v>
                  </c:pt>
                  <c:pt idx="4">
                    <c:v>2</c:v>
                  </c:pt>
                  <c:pt idx="5">
                    <c:v>4</c:v>
                  </c:pt>
                  <c:pt idx="6">
                    <c:v>1</c:v>
                  </c:pt>
                  <c:pt idx="7">
                    <c:v>2</c:v>
                  </c:pt>
                  <c:pt idx="8">
                    <c:v>4</c:v>
                  </c:pt>
                  <c:pt idx="9">
                    <c:v>1</c:v>
                  </c:pt>
                  <c:pt idx="10">
                    <c:v>2</c:v>
                  </c:pt>
                  <c:pt idx="11">
                    <c:v>4</c:v>
                  </c:pt>
                  <c:pt idx="12">
                    <c:v>1</c:v>
                  </c:pt>
                  <c:pt idx="13">
                    <c:v>2</c:v>
                  </c:pt>
                  <c:pt idx="14">
                    <c:v>4</c:v>
                  </c:pt>
                </c:lvl>
                <c:lvl>
                  <c:pt idx="0">
                    <c:v>specbzip</c:v>
                  </c:pt>
                  <c:pt idx="3">
                    <c:v>spechmmer</c:v>
                  </c:pt>
                  <c:pt idx="6">
                    <c:v>speclibm</c:v>
                  </c:pt>
                  <c:pt idx="9">
                    <c:v>specmcf</c:v>
                  </c:pt>
                  <c:pt idx="12">
                    <c:v>specsjeng</c:v>
                  </c:pt>
                </c:lvl>
              </c:multiLvlStrCache>
            </c:multiLvlStrRef>
          </c:cat>
          <c:val>
            <c:numRef>
              <c:f>'l1d_assoc w (2)'!$B$5:$B$25</c:f>
              <c:numCache>
                <c:formatCode>General</c:formatCode>
                <c:ptCount val="15"/>
                <c:pt idx="0">
                  <c:v>1.275447</c:v>
                </c:pt>
                <c:pt idx="1">
                  <c:v>1.2846439999999999</c:v>
                </c:pt>
                <c:pt idx="2">
                  <c:v>1.4997</c:v>
                </c:pt>
                <c:pt idx="3">
                  <c:v>1.234885</c:v>
                </c:pt>
                <c:pt idx="4">
                  <c:v>1.237128</c:v>
                </c:pt>
                <c:pt idx="5">
                  <c:v>1.3576410000000001</c:v>
                </c:pt>
                <c:pt idx="6">
                  <c:v>1.2613319999999999</c:v>
                </c:pt>
                <c:pt idx="7">
                  <c:v>1.2636189999999998</c:v>
                </c:pt>
                <c:pt idx="8">
                  <c:v>1.4369259999999999</c:v>
                </c:pt>
                <c:pt idx="9">
                  <c:v>1.301301</c:v>
                </c:pt>
                <c:pt idx="10">
                  <c:v>1.3097619999999999</c:v>
                </c:pt>
                <c:pt idx="11">
                  <c:v>1.548074</c:v>
                </c:pt>
                <c:pt idx="12">
                  <c:v>1.2903819999999999</c:v>
                </c:pt>
                <c:pt idx="13">
                  <c:v>1.3035189999999999</c:v>
                </c:pt>
                <c:pt idx="14">
                  <c:v>1.534824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9B-4994-BF03-24E9728B518E}"/>
            </c:ext>
          </c:extLst>
        </c:ser>
        <c:ser>
          <c:idx val="1"/>
          <c:order val="1"/>
          <c:tx>
            <c:strRef>
              <c:f>'l1d_assoc w (2)'!$C$4</c:f>
              <c:strCache>
                <c:ptCount val="1"/>
                <c:pt idx="0">
                  <c:v>Peak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'l1d_assoc w (2)'!$A$5:$A$25</c:f>
              <c:multiLvlStrCache>
                <c:ptCount val="15"/>
                <c:lvl>
                  <c:pt idx="0">
                    <c:v>1</c:v>
                  </c:pt>
                  <c:pt idx="1">
                    <c:v>2</c:v>
                  </c:pt>
                  <c:pt idx="2">
                    <c:v>4</c:v>
                  </c:pt>
                  <c:pt idx="3">
                    <c:v>1</c:v>
                  </c:pt>
                  <c:pt idx="4">
                    <c:v>2</c:v>
                  </c:pt>
                  <c:pt idx="5">
                    <c:v>4</c:v>
                  </c:pt>
                  <c:pt idx="6">
                    <c:v>1</c:v>
                  </c:pt>
                  <c:pt idx="7">
                    <c:v>2</c:v>
                  </c:pt>
                  <c:pt idx="8">
                    <c:v>4</c:v>
                  </c:pt>
                  <c:pt idx="9">
                    <c:v>1</c:v>
                  </c:pt>
                  <c:pt idx="10">
                    <c:v>2</c:v>
                  </c:pt>
                  <c:pt idx="11">
                    <c:v>4</c:v>
                  </c:pt>
                  <c:pt idx="12">
                    <c:v>1</c:v>
                  </c:pt>
                  <c:pt idx="13">
                    <c:v>2</c:v>
                  </c:pt>
                  <c:pt idx="14">
                    <c:v>4</c:v>
                  </c:pt>
                </c:lvl>
                <c:lvl>
                  <c:pt idx="0">
                    <c:v>specbzip</c:v>
                  </c:pt>
                  <c:pt idx="3">
                    <c:v>spechmmer</c:v>
                  </c:pt>
                  <c:pt idx="6">
                    <c:v>speclibm</c:v>
                  </c:pt>
                  <c:pt idx="9">
                    <c:v>specmcf</c:v>
                  </c:pt>
                  <c:pt idx="12">
                    <c:v>specsjeng</c:v>
                  </c:pt>
                </c:lvl>
              </c:multiLvlStrCache>
            </c:multiLvlStrRef>
          </c:cat>
          <c:val>
            <c:numRef>
              <c:f>'l1d_assoc w (2)'!$C$5:$C$25</c:f>
              <c:numCache>
                <c:formatCode>General</c:formatCode>
                <c:ptCount val="15"/>
                <c:pt idx="0">
                  <c:v>3.7820100000000001</c:v>
                </c:pt>
                <c:pt idx="1">
                  <c:v>3.8013499999999998</c:v>
                </c:pt>
                <c:pt idx="2">
                  <c:v>4.2146999999999997</c:v>
                </c:pt>
                <c:pt idx="3">
                  <c:v>3.7820100000000001</c:v>
                </c:pt>
                <c:pt idx="4">
                  <c:v>3.8013499999999998</c:v>
                </c:pt>
                <c:pt idx="5">
                  <c:v>4.2146999999999997</c:v>
                </c:pt>
                <c:pt idx="6">
                  <c:v>3.7820100000000001</c:v>
                </c:pt>
                <c:pt idx="7">
                  <c:v>3.8013499999999998</c:v>
                </c:pt>
                <c:pt idx="8">
                  <c:v>4.2146999999999997</c:v>
                </c:pt>
                <c:pt idx="9">
                  <c:v>3.7820100000000001</c:v>
                </c:pt>
                <c:pt idx="10">
                  <c:v>3.8013499999999998</c:v>
                </c:pt>
                <c:pt idx="11">
                  <c:v>4.2146999999999997</c:v>
                </c:pt>
                <c:pt idx="12">
                  <c:v>3.7820100000000001</c:v>
                </c:pt>
                <c:pt idx="13">
                  <c:v>3.8013499999999998</c:v>
                </c:pt>
                <c:pt idx="14">
                  <c:v>4.2146999999999997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9B-4994-BF03-24E9728B51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4022528"/>
        <c:axId val="284022856"/>
      </c:barChart>
      <c:catAx>
        <c:axId val="284022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L1D Associativity</a:t>
                </a:r>
                <a:endParaRPr lang="en-US" baseline="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84022856"/>
        <c:crosses val="autoZero"/>
        <c:auto val="1"/>
        <c:lblAlgn val="ctr"/>
        <c:lblOffset val="100"/>
        <c:noMultiLvlLbl val="0"/>
      </c:catAx>
      <c:valAx>
        <c:axId val="284022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[W]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8402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8730801638725051"/>
          <c:y val="1.4312367308269094E-2"/>
          <c:w val="0.28947451679241204"/>
          <c:h val="6.0081829623997905E-2"/>
        </c:manualLayout>
      </c:layout>
      <c:overlay val="1"/>
      <c:spPr>
        <a:solidFill>
          <a:schemeClr val="bg1"/>
        </a:solidFill>
        <a:ln w="12700"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l-G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600"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[data_summary.xlsm]l1d_assoc area!PivotTable1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'l1d_assoc area'!$B$4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'l1d_assoc area'!$A$5:$A$25</c:f>
              <c:multiLvlStrCache>
                <c:ptCount val="15"/>
                <c:lvl>
                  <c:pt idx="0">
                    <c:v>1</c:v>
                  </c:pt>
                  <c:pt idx="1">
                    <c:v>2</c:v>
                  </c:pt>
                  <c:pt idx="2">
                    <c:v>4</c:v>
                  </c:pt>
                  <c:pt idx="3">
                    <c:v>1</c:v>
                  </c:pt>
                  <c:pt idx="4">
                    <c:v>2</c:v>
                  </c:pt>
                  <c:pt idx="5">
                    <c:v>4</c:v>
                  </c:pt>
                  <c:pt idx="6">
                    <c:v>1</c:v>
                  </c:pt>
                  <c:pt idx="7">
                    <c:v>2</c:v>
                  </c:pt>
                  <c:pt idx="8">
                    <c:v>4</c:v>
                  </c:pt>
                  <c:pt idx="9">
                    <c:v>1</c:v>
                  </c:pt>
                  <c:pt idx="10">
                    <c:v>2</c:v>
                  </c:pt>
                  <c:pt idx="11">
                    <c:v>4</c:v>
                  </c:pt>
                  <c:pt idx="12">
                    <c:v>1</c:v>
                  </c:pt>
                  <c:pt idx="13">
                    <c:v>2</c:v>
                  </c:pt>
                  <c:pt idx="14">
                    <c:v>4</c:v>
                  </c:pt>
                </c:lvl>
                <c:lvl>
                  <c:pt idx="0">
                    <c:v>specbzip</c:v>
                  </c:pt>
                  <c:pt idx="3">
                    <c:v>spechmmer</c:v>
                  </c:pt>
                  <c:pt idx="6">
                    <c:v>speclibm</c:v>
                  </c:pt>
                  <c:pt idx="9">
                    <c:v>specmcf</c:v>
                  </c:pt>
                  <c:pt idx="12">
                    <c:v>specsjeng</c:v>
                  </c:pt>
                </c:lvl>
              </c:multiLvlStrCache>
            </c:multiLvlStrRef>
          </c:cat>
          <c:val>
            <c:numRef>
              <c:f>'l1d_assoc area'!$B$5:$B$25</c:f>
              <c:numCache>
                <c:formatCode>General</c:formatCode>
                <c:ptCount val="15"/>
                <c:pt idx="0">
                  <c:v>10.7277</c:v>
                </c:pt>
                <c:pt idx="1">
                  <c:v>10.764200000000001</c:v>
                </c:pt>
                <c:pt idx="2">
                  <c:v>11.603899999999999</c:v>
                </c:pt>
                <c:pt idx="3">
                  <c:v>10.7277</c:v>
                </c:pt>
                <c:pt idx="4">
                  <c:v>10.764200000000001</c:v>
                </c:pt>
                <c:pt idx="5">
                  <c:v>11.603899999999999</c:v>
                </c:pt>
                <c:pt idx="6">
                  <c:v>10.7277</c:v>
                </c:pt>
                <c:pt idx="7">
                  <c:v>10.764200000000001</c:v>
                </c:pt>
                <c:pt idx="8">
                  <c:v>11.603899999999999</c:v>
                </c:pt>
                <c:pt idx="9">
                  <c:v>10.7277</c:v>
                </c:pt>
                <c:pt idx="10">
                  <c:v>10.764200000000001</c:v>
                </c:pt>
                <c:pt idx="11">
                  <c:v>11.603899999999999</c:v>
                </c:pt>
                <c:pt idx="12">
                  <c:v>10.7277</c:v>
                </c:pt>
                <c:pt idx="13">
                  <c:v>10.764200000000001</c:v>
                </c:pt>
                <c:pt idx="14">
                  <c:v>11.603899999999999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C0-4654-861C-30AC99B382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4022528"/>
        <c:axId val="284022856"/>
      </c:barChart>
      <c:catAx>
        <c:axId val="284022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L1D Associativity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84022856"/>
        <c:crosses val="autoZero"/>
        <c:auto val="1"/>
        <c:lblAlgn val="ctr"/>
        <c:lblOffset val="100"/>
        <c:noMultiLvlLbl val="0"/>
      </c:catAx>
      <c:valAx>
        <c:axId val="284022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Area [mm²]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8402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600"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[data_summary.xlsm]l1d_assoc perf!PivotTable1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rgbClr val="00B0F0"/>
          </a:solidFill>
          <a:ln>
            <a:noFill/>
          </a:ln>
          <a:effectLst/>
        </c:spPr>
      </c:pivotFmt>
      <c:pivotFmt>
        <c:idx val="11"/>
        <c:spPr>
          <a:solidFill>
            <a:srgbClr val="00B0F0"/>
          </a:solidFill>
          <a:ln>
            <a:noFill/>
          </a:ln>
          <a:effectLst/>
        </c:spPr>
      </c:pivotFmt>
      <c:pivotFmt>
        <c:idx val="12"/>
        <c:spPr>
          <a:solidFill>
            <a:srgbClr val="00B0F0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rgbClr val="00B0F0"/>
          </a:solidFill>
          <a:ln>
            <a:noFill/>
          </a:ln>
          <a:effectLst/>
        </c:spPr>
      </c:pivotFmt>
      <c:pivotFmt>
        <c:idx val="15"/>
        <c:spPr>
          <a:solidFill>
            <a:srgbClr val="00B0F0"/>
          </a:solidFill>
          <a:ln>
            <a:noFill/>
          </a:ln>
          <a:effectLst/>
        </c:spPr>
      </c:pivotFmt>
      <c:pivotFmt>
        <c:idx val="16"/>
        <c:spPr>
          <a:solidFill>
            <a:srgbClr val="00B0F0"/>
          </a:solidFill>
          <a:ln>
            <a:noFill/>
          </a:ln>
          <a:effectLst/>
        </c:spPr>
      </c:pivotFmt>
      <c:pivotFmt>
        <c:idx val="17"/>
        <c:spPr>
          <a:solidFill>
            <a:srgbClr val="00B0F0"/>
          </a:solidFill>
          <a:ln>
            <a:noFill/>
          </a:ln>
          <a:effectLst/>
        </c:spPr>
      </c:pivotFmt>
      <c:pivotFmt>
        <c:idx val="18"/>
        <c:spPr>
          <a:solidFill>
            <a:srgbClr val="00B0F0"/>
          </a:solidFill>
          <a:ln>
            <a:noFill/>
          </a:ln>
          <a:effectLst/>
        </c:spPr>
      </c:pivotFmt>
      <c:pivotFmt>
        <c:idx val="19"/>
        <c:spPr>
          <a:solidFill>
            <a:srgbClr val="00B0F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'l1d_assoc perf'!$B$4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EBC-4E84-B356-145547E0E131}"/>
              </c:ext>
            </c:extLst>
          </c:dPt>
          <c:dPt>
            <c:idx val="4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EBC-4E84-B356-145547E0E131}"/>
              </c:ext>
            </c:extLst>
          </c:dPt>
          <c:dPt>
            <c:idx val="5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EBC-4E84-B356-145547E0E131}"/>
              </c:ext>
            </c:extLst>
          </c:dPt>
          <c:cat>
            <c:multiLvlStrRef>
              <c:f>'l1d_assoc perf'!$A$5:$A$25</c:f>
              <c:multiLvlStrCache>
                <c:ptCount val="15"/>
                <c:lvl>
                  <c:pt idx="0">
                    <c:v>1</c:v>
                  </c:pt>
                  <c:pt idx="1">
                    <c:v>2</c:v>
                  </c:pt>
                  <c:pt idx="2">
                    <c:v>4</c:v>
                  </c:pt>
                  <c:pt idx="3">
                    <c:v>1</c:v>
                  </c:pt>
                  <c:pt idx="4">
                    <c:v>2</c:v>
                  </c:pt>
                  <c:pt idx="5">
                    <c:v>4</c:v>
                  </c:pt>
                  <c:pt idx="6">
                    <c:v>1</c:v>
                  </c:pt>
                  <c:pt idx="7">
                    <c:v>2</c:v>
                  </c:pt>
                  <c:pt idx="8">
                    <c:v>4</c:v>
                  </c:pt>
                  <c:pt idx="9">
                    <c:v>1</c:v>
                  </c:pt>
                  <c:pt idx="10">
                    <c:v>2</c:v>
                  </c:pt>
                  <c:pt idx="11">
                    <c:v>4</c:v>
                  </c:pt>
                  <c:pt idx="12">
                    <c:v>1</c:v>
                  </c:pt>
                  <c:pt idx="13">
                    <c:v>2</c:v>
                  </c:pt>
                  <c:pt idx="14">
                    <c:v>4</c:v>
                  </c:pt>
                </c:lvl>
                <c:lvl>
                  <c:pt idx="0">
                    <c:v>specbzip</c:v>
                  </c:pt>
                  <c:pt idx="3">
                    <c:v>spechmmer</c:v>
                  </c:pt>
                  <c:pt idx="6">
                    <c:v>speclibm</c:v>
                  </c:pt>
                  <c:pt idx="9">
                    <c:v>specmcf</c:v>
                  </c:pt>
                  <c:pt idx="12">
                    <c:v>specsjeng</c:v>
                  </c:pt>
                </c:lvl>
              </c:multiLvlStrCache>
            </c:multiLvlStrRef>
          </c:cat>
          <c:val>
            <c:numRef>
              <c:f>'l1d_assoc perf'!$B$5:$B$25</c:f>
              <c:numCache>
                <c:formatCode>General</c:formatCode>
                <c:ptCount val="15"/>
                <c:pt idx="0">
                  <c:v>4.5379184037345617</c:v>
                </c:pt>
                <c:pt idx="1">
                  <c:v>4.6106530355599018</c:v>
                </c:pt>
                <c:pt idx="2">
                  <c:v>3.9807530906527191</c:v>
                </c:pt>
                <c:pt idx="3">
                  <c:v>6.8626643608114408</c:v>
                </c:pt>
                <c:pt idx="4">
                  <c:v>6.9683497554109239</c:v>
                </c:pt>
                <c:pt idx="5">
                  <c:v>6.3497707732750852</c:v>
                </c:pt>
                <c:pt idx="6">
                  <c:v>1.1257961638914511</c:v>
                </c:pt>
                <c:pt idx="7">
                  <c:v>1.1239118186025117</c:v>
                </c:pt>
                <c:pt idx="8">
                  <c:v>0.98835731782836844</c:v>
                </c:pt>
                <c:pt idx="9">
                  <c:v>6.9717551818250136</c:v>
                </c:pt>
                <c:pt idx="10">
                  <c:v>6.9528958341828906</c:v>
                </c:pt>
                <c:pt idx="11">
                  <c:v>5.8852401014940261</c:v>
                </c:pt>
                <c:pt idx="12">
                  <c:v>6.2883041435390439</c:v>
                </c:pt>
                <c:pt idx="13">
                  <c:v>6.4575264559854313</c:v>
                </c:pt>
                <c:pt idx="14">
                  <c:v>5.4978145444980662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EBC-4E84-B356-145547E0E1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4022528"/>
        <c:axId val="284022856"/>
      </c:barChart>
      <c:catAx>
        <c:axId val="284022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L1D Associativity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84022856"/>
        <c:crosses val="autoZero"/>
        <c:auto val="1"/>
        <c:lblAlgn val="ctr"/>
        <c:lblOffset val="100"/>
        <c:noMultiLvlLbl val="0"/>
      </c:catAx>
      <c:valAx>
        <c:axId val="284022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Energy Efficiency/Instructions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8402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600"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[data_summary.xlsm]l1i_assoc w (2)!PivotTable1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'l1i_assoc w (2)'!$B$4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'l1i_assoc w (2)'!$A$5:$A$25</c:f>
              <c:multiLvlStrCache>
                <c:ptCount val="15"/>
                <c:lvl>
                  <c:pt idx="0">
                    <c:v>1</c:v>
                  </c:pt>
                  <c:pt idx="1">
                    <c:v>2</c:v>
                  </c:pt>
                  <c:pt idx="2">
                    <c:v>4</c:v>
                  </c:pt>
                  <c:pt idx="3">
                    <c:v>1</c:v>
                  </c:pt>
                  <c:pt idx="4">
                    <c:v>2</c:v>
                  </c:pt>
                  <c:pt idx="5">
                    <c:v>4</c:v>
                  </c:pt>
                  <c:pt idx="6">
                    <c:v>1</c:v>
                  </c:pt>
                  <c:pt idx="7">
                    <c:v>2</c:v>
                  </c:pt>
                  <c:pt idx="8">
                    <c:v>4</c:v>
                  </c:pt>
                  <c:pt idx="9">
                    <c:v>1</c:v>
                  </c:pt>
                  <c:pt idx="10">
                    <c:v>2</c:v>
                  </c:pt>
                  <c:pt idx="11">
                    <c:v>4</c:v>
                  </c:pt>
                  <c:pt idx="12">
                    <c:v>1</c:v>
                  </c:pt>
                  <c:pt idx="13">
                    <c:v>2</c:v>
                  </c:pt>
                  <c:pt idx="14">
                    <c:v>4</c:v>
                  </c:pt>
                </c:lvl>
                <c:lvl>
                  <c:pt idx="0">
                    <c:v>specbzip</c:v>
                  </c:pt>
                  <c:pt idx="3">
                    <c:v>spechmmer</c:v>
                  </c:pt>
                  <c:pt idx="6">
                    <c:v>speclibm</c:v>
                  </c:pt>
                  <c:pt idx="9">
                    <c:v>specmcf</c:v>
                  </c:pt>
                  <c:pt idx="12">
                    <c:v>specsjeng</c:v>
                  </c:pt>
                </c:lvl>
              </c:multiLvlStrCache>
            </c:multiLvlStrRef>
          </c:cat>
          <c:val>
            <c:numRef>
              <c:f>'l1i_assoc w (2)'!$B$5:$B$25</c:f>
              <c:numCache>
                <c:formatCode>General</c:formatCode>
                <c:ptCount val="15"/>
                <c:pt idx="0">
                  <c:v>1.275447</c:v>
                </c:pt>
                <c:pt idx="1">
                  <c:v>1.2776879999999999</c:v>
                </c:pt>
                <c:pt idx="2">
                  <c:v>1.0025839999999999</c:v>
                </c:pt>
                <c:pt idx="3">
                  <c:v>1.234885</c:v>
                </c:pt>
                <c:pt idx="4">
                  <c:v>1.2369699999999999</c:v>
                </c:pt>
                <c:pt idx="5">
                  <c:v>0.96215499999999998</c:v>
                </c:pt>
                <c:pt idx="6">
                  <c:v>1.2613319999999999</c:v>
                </c:pt>
                <c:pt idx="7">
                  <c:v>1.2635730000000001</c:v>
                </c:pt>
                <c:pt idx="8">
                  <c:v>0.98847399999999996</c:v>
                </c:pt>
                <c:pt idx="9">
                  <c:v>1.301301</c:v>
                </c:pt>
                <c:pt idx="10">
                  <c:v>1.3035220000000001</c:v>
                </c:pt>
                <c:pt idx="11">
                  <c:v>1.0284339999999998</c:v>
                </c:pt>
                <c:pt idx="12">
                  <c:v>1.2903819999999999</c:v>
                </c:pt>
                <c:pt idx="13">
                  <c:v>1.292621</c:v>
                </c:pt>
                <c:pt idx="14">
                  <c:v>1.01752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4E-44FD-B21C-9133CE7B8AC4}"/>
            </c:ext>
          </c:extLst>
        </c:ser>
        <c:ser>
          <c:idx val="1"/>
          <c:order val="1"/>
          <c:tx>
            <c:strRef>
              <c:f>'l1i_assoc w (2)'!$C$4</c:f>
              <c:strCache>
                <c:ptCount val="1"/>
                <c:pt idx="0">
                  <c:v>Peak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'l1i_assoc w (2)'!$A$5:$A$25</c:f>
              <c:multiLvlStrCache>
                <c:ptCount val="15"/>
                <c:lvl>
                  <c:pt idx="0">
                    <c:v>1</c:v>
                  </c:pt>
                  <c:pt idx="1">
                    <c:v>2</c:v>
                  </c:pt>
                  <c:pt idx="2">
                    <c:v>4</c:v>
                  </c:pt>
                  <c:pt idx="3">
                    <c:v>1</c:v>
                  </c:pt>
                  <c:pt idx="4">
                    <c:v>2</c:v>
                  </c:pt>
                  <c:pt idx="5">
                    <c:v>4</c:v>
                  </c:pt>
                  <c:pt idx="6">
                    <c:v>1</c:v>
                  </c:pt>
                  <c:pt idx="7">
                    <c:v>2</c:v>
                  </c:pt>
                  <c:pt idx="8">
                    <c:v>4</c:v>
                  </c:pt>
                  <c:pt idx="9">
                    <c:v>1</c:v>
                  </c:pt>
                  <c:pt idx="10">
                    <c:v>2</c:v>
                  </c:pt>
                  <c:pt idx="11">
                    <c:v>4</c:v>
                  </c:pt>
                  <c:pt idx="12">
                    <c:v>1</c:v>
                  </c:pt>
                  <c:pt idx="13">
                    <c:v>2</c:v>
                  </c:pt>
                  <c:pt idx="14">
                    <c:v>4</c:v>
                  </c:pt>
                </c:lvl>
                <c:lvl>
                  <c:pt idx="0">
                    <c:v>specbzip</c:v>
                  </c:pt>
                  <c:pt idx="3">
                    <c:v>spechmmer</c:v>
                  </c:pt>
                  <c:pt idx="6">
                    <c:v>speclibm</c:v>
                  </c:pt>
                  <c:pt idx="9">
                    <c:v>specmcf</c:v>
                  </c:pt>
                  <c:pt idx="12">
                    <c:v>specsjeng</c:v>
                  </c:pt>
                </c:lvl>
              </c:multiLvlStrCache>
            </c:multiLvlStrRef>
          </c:cat>
          <c:val>
            <c:numRef>
              <c:f>'l1i_assoc w (2)'!$C$5:$C$25</c:f>
              <c:numCache>
                <c:formatCode>General</c:formatCode>
                <c:ptCount val="15"/>
                <c:pt idx="0">
                  <c:v>3.7820100000000001</c:v>
                </c:pt>
                <c:pt idx="1">
                  <c:v>3.7873899999999998</c:v>
                </c:pt>
                <c:pt idx="2">
                  <c:v>3.4842</c:v>
                </c:pt>
                <c:pt idx="3">
                  <c:v>3.7820100000000001</c:v>
                </c:pt>
                <c:pt idx="4">
                  <c:v>3.7873899999999998</c:v>
                </c:pt>
                <c:pt idx="5">
                  <c:v>3.4842</c:v>
                </c:pt>
                <c:pt idx="6">
                  <c:v>3.7820100000000001</c:v>
                </c:pt>
                <c:pt idx="7">
                  <c:v>3.7873899999999998</c:v>
                </c:pt>
                <c:pt idx="8">
                  <c:v>3.4842</c:v>
                </c:pt>
                <c:pt idx="9">
                  <c:v>3.7820100000000001</c:v>
                </c:pt>
                <c:pt idx="10">
                  <c:v>3.7873899999999998</c:v>
                </c:pt>
                <c:pt idx="11">
                  <c:v>3.4842</c:v>
                </c:pt>
                <c:pt idx="12">
                  <c:v>3.7820100000000001</c:v>
                </c:pt>
                <c:pt idx="13">
                  <c:v>3.7873899999999998</c:v>
                </c:pt>
                <c:pt idx="14">
                  <c:v>3.4842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4E-44FD-B21C-9133CE7B8A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4022528"/>
        <c:axId val="284022856"/>
      </c:barChart>
      <c:catAx>
        <c:axId val="284022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L1I Associativity</a:t>
                </a:r>
                <a:endParaRPr lang="en-US" baseline="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84022856"/>
        <c:crosses val="autoZero"/>
        <c:auto val="1"/>
        <c:lblAlgn val="ctr"/>
        <c:lblOffset val="100"/>
        <c:noMultiLvlLbl val="0"/>
      </c:catAx>
      <c:valAx>
        <c:axId val="284022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[W]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8402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8730801638725051"/>
          <c:y val="1.4312367308269094E-2"/>
          <c:w val="0.28947451679241204"/>
          <c:h val="6.0081829623997905E-2"/>
        </c:manualLayout>
      </c:layout>
      <c:overlay val="1"/>
      <c:spPr>
        <a:solidFill>
          <a:schemeClr val="bg1"/>
        </a:solidFill>
        <a:ln w="12700"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l-G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600"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[data_summary.xlsm]l1i_assoc area!PivotTable1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'l1i_assoc area'!$B$4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'l1i_assoc area'!$A$5:$A$25</c:f>
              <c:multiLvlStrCache>
                <c:ptCount val="15"/>
                <c:lvl>
                  <c:pt idx="0">
                    <c:v>1</c:v>
                  </c:pt>
                  <c:pt idx="1">
                    <c:v>2</c:v>
                  </c:pt>
                  <c:pt idx="2">
                    <c:v>4</c:v>
                  </c:pt>
                  <c:pt idx="3">
                    <c:v>1</c:v>
                  </c:pt>
                  <c:pt idx="4">
                    <c:v>2</c:v>
                  </c:pt>
                  <c:pt idx="5">
                    <c:v>4</c:v>
                  </c:pt>
                  <c:pt idx="6">
                    <c:v>1</c:v>
                  </c:pt>
                  <c:pt idx="7">
                    <c:v>2</c:v>
                  </c:pt>
                  <c:pt idx="8">
                    <c:v>4</c:v>
                  </c:pt>
                  <c:pt idx="9">
                    <c:v>1</c:v>
                  </c:pt>
                  <c:pt idx="10">
                    <c:v>2</c:v>
                  </c:pt>
                  <c:pt idx="11">
                    <c:v>4</c:v>
                  </c:pt>
                  <c:pt idx="12">
                    <c:v>1</c:v>
                  </c:pt>
                  <c:pt idx="13">
                    <c:v>2</c:v>
                  </c:pt>
                  <c:pt idx="14">
                    <c:v>4</c:v>
                  </c:pt>
                </c:lvl>
                <c:lvl>
                  <c:pt idx="0">
                    <c:v>specbzip</c:v>
                  </c:pt>
                  <c:pt idx="3">
                    <c:v>spechmmer</c:v>
                  </c:pt>
                  <c:pt idx="6">
                    <c:v>speclibm</c:v>
                  </c:pt>
                  <c:pt idx="9">
                    <c:v>specmcf</c:v>
                  </c:pt>
                  <c:pt idx="12">
                    <c:v>specsjeng</c:v>
                  </c:pt>
                </c:lvl>
              </c:multiLvlStrCache>
            </c:multiLvlStrRef>
          </c:cat>
          <c:val>
            <c:numRef>
              <c:f>'l1i_assoc area'!$B$5:$B$25</c:f>
              <c:numCache>
                <c:formatCode>General</c:formatCode>
                <c:ptCount val="15"/>
                <c:pt idx="0">
                  <c:v>10.7277</c:v>
                </c:pt>
                <c:pt idx="1">
                  <c:v>10.7638</c:v>
                </c:pt>
                <c:pt idx="2">
                  <c:v>9.7305700000000002</c:v>
                </c:pt>
                <c:pt idx="3">
                  <c:v>10.7277</c:v>
                </c:pt>
                <c:pt idx="4">
                  <c:v>10.7638</c:v>
                </c:pt>
                <c:pt idx="5">
                  <c:v>9.7305700000000002</c:v>
                </c:pt>
                <c:pt idx="6">
                  <c:v>10.7277</c:v>
                </c:pt>
                <c:pt idx="7">
                  <c:v>10.7638</c:v>
                </c:pt>
                <c:pt idx="8">
                  <c:v>9.7305700000000002</c:v>
                </c:pt>
                <c:pt idx="9">
                  <c:v>10.7277</c:v>
                </c:pt>
                <c:pt idx="10">
                  <c:v>10.7638</c:v>
                </c:pt>
                <c:pt idx="11">
                  <c:v>9.7305700000000002</c:v>
                </c:pt>
                <c:pt idx="12">
                  <c:v>10.7277</c:v>
                </c:pt>
                <c:pt idx="13">
                  <c:v>10.7638</c:v>
                </c:pt>
                <c:pt idx="14">
                  <c:v>9.7305700000000002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4E-44E3-A543-0DBC317500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4022528"/>
        <c:axId val="284022856"/>
      </c:barChart>
      <c:catAx>
        <c:axId val="284022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L1I Associativity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84022856"/>
        <c:crosses val="autoZero"/>
        <c:auto val="1"/>
        <c:lblAlgn val="ctr"/>
        <c:lblOffset val="100"/>
        <c:noMultiLvlLbl val="0"/>
      </c:catAx>
      <c:valAx>
        <c:axId val="284022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Area [mm²]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8402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600"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[data_summary.xlsm]l1i_assoc perf!PivotTable1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rgbClr val="00B0F0"/>
          </a:solidFill>
          <a:ln>
            <a:noFill/>
          </a:ln>
          <a:effectLst/>
        </c:spPr>
      </c:pivotFmt>
      <c:pivotFmt>
        <c:idx val="11"/>
        <c:spPr>
          <a:solidFill>
            <a:srgbClr val="00B0F0"/>
          </a:solidFill>
          <a:ln>
            <a:noFill/>
          </a:ln>
          <a:effectLst/>
        </c:spPr>
      </c:pivotFmt>
      <c:pivotFmt>
        <c:idx val="12"/>
        <c:spPr>
          <a:solidFill>
            <a:srgbClr val="00B0F0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rgbClr val="00B0F0"/>
          </a:solidFill>
          <a:ln>
            <a:noFill/>
          </a:ln>
          <a:effectLst/>
        </c:spPr>
      </c:pivotFmt>
      <c:pivotFmt>
        <c:idx val="15"/>
        <c:spPr>
          <a:solidFill>
            <a:srgbClr val="00B0F0"/>
          </a:solidFill>
          <a:ln>
            <a:noFill/>
          </a:ln>
          <a:effectLst/>
        </c:spPr>
      </c:pivotFmt>
      <c:pivotFmt>
        <c:idx val="16"/>
        <c:spPr>
          <a:solidFill>
            <a:srgbClr val="00B0F0"/>
          </a:solidFill>
          <a:ln>
            <a:noFill/>
          </a:ln>
          <a:effectLst/>
        </c:spPr>
      </c:pivotFmt>
      <c:pivotFmt>
        <c:idx val="17"/>
        <c:spPr>
          <a:solidFill>
            <a:srgbClr val="00B0F0"/>
          </a:solidFill>
          <a:ln>
            <a:noFill/>
          </a:ln>
          <a:effectLst/>
        </c:spPr>
      </c:pivotFmt>
      <c:pivotFmt>
        <c:idx val="18"/>
        <c:spPr>
          <a:solidFill>
            <a:srgbClr val="00B0F0"/>
          </a:solidFill>
          <a:ln>
            <a:noFill/>
          </a:ln>
          <a:effectLst/>
        </c:spPr>
      </c:pivotFmt>
      <c:pivotFmt>
        <c:idx val="19"/>
        <c:spPr>
          <a:solidFill>
            <a:srgbClr val="00B0F0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rgbClr val="00B0F0"/>
          </a:solidFill>
          <a:ln>
            <a:noFill/>
          </a:ln>
          <a:effectLst/>
        </c:spPr>
      </c:pivotFmt>
      <c:pivotFmt>
        <c:idx val="22"/>
        <c:spPr>
          <a:solidFill>
            <a:srgbClr val="00B0F0"/>
          </a:solidFill>
          <a:ln>
            <a:noFill/>
          </a:ln>
          <a:effectLst/>
        </c:spPr>
      </c:pivotFmt>
      <c:pivotFmt>
        <c:idx val="23"/>
        <c:spPr>
          <a:solidFill>
            <a:srgbClr val="00B0F0"/>
          </a:solidFill>
          <a:ln>
            <a:noFill/>
          </a:ln>
          <a:effectLst/>
        </c:spPr>
      </c:pivotFmt>
      <c:pivotFmt>
        <c:idx val="24"/>
        <c:spPr>
          <a:solidFill>
            <a:srgbClr val="00B0F0"/>
          </a:solidFill>
          <a:ln>
            <a:noFill/>
          </a:ln>
          <a:effectLst/>
        </c:spPr>
      </c:pivotFmt>
      <c:pivotFmt>
        <c:idx val="25"/>
        <c:spPr>
          <a:solidFill>
            <a:srgbClr val="00B0F0"/>
          </a:solidFill>
          <a:ln>
            <a:noFill/>
          </a:ln>
          <a:effectLst/>
        </c:spPr>
      </c:pivotFmt>
      <c:pivotFmt>
        <c:idx val="26"/>
        <c:spPr>
          <a:solidFill>
            <a:srgbClr val="00B0F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'l1i_assoc perf'!$B$4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B8F-4F30-A738-EE2CCD36F6F9}"/>
              </c:ext>
            </c:extLst>
          </c:dPt>
          <c:dPt>
            <c:idx val="4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B8F-4F30-A738-EE2CCD36F6F9}"/>
              </c:ext>
            </c:extLst>
          </c:dPt>
          <c:dPt>
            <c:idx val="5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B8F-4F30-A738-EE2CCD36F6F9}"/>
              </c:ext>
            </c:extLst>
          </c:dPt>
          <c:cat>
            <c:multiLvlStrRef>
              <c:f>'l1i_assoc perf'!$A$5:$A$25</c:f>
              <c:multiLvlStrCache>
                <c:ptCount val="15"/>
                <c:lvl>
                  <c:pt idx="0">
                    <c:v>1</c:v>
                  </c:pt>
                  <c:pt idx="1">
                    <c:v>2</c:v>
                  </c:pt>
                  <c:pt idx="2">
                    <c:v>4</c:v>
                  </c:pt>
                  <c:pt idx="3">
                    <c:v>1</c:v>
                  </c:pt>
                  <c:pt idx="4">
                    <c:v>2</c:v>
                  </c:pt>
                  <c:pt idx="5">
                    <c:v>4</c:v>
                  </c:pt>
                  <c:pt idx="6">
                    <c:v>1</c:v>
                  </c:pt>
                  <c:pt idx="7">
                    <c:v>2</c:v>
                  </c:pt>
                  <c:pt idx="8">
                    <c:v>4</c:v>
                  </c:pt>
                  <c:pt idx="9">
                    <c:v>1</c:v>
                  </c:pt>
                  <c:pt idx="10">
                    <c:v>2</c:v>
                  </c:pt>
                  <c:pt idx="11">
                    <c:v>4</c:v>
                  </c:pt>
                  <c:pt idx="12">
                    <c:v>1</c:v>
                  </c:pt>
                  <c:pt idx="13">
                    <c:v>2</c:v>
                  </c:pt>
                  <c:pt idx="14">
                    <c:v>4</c:v>
                  </c:pt>
                </c:lvl>
                <c:lvl>
                  <c:pt idx="0">
                    <c:v>specbzip</c:v>
                  </c:pt>
                  <c:pt idx="3">
                    <c:v>spechmmer</c:v>
                  </c:pt>
                  <c:pt idx="6">
                    <c:v>speclibm</c:v>
                  </c:pt>
                  <c:pt idx="9">
                    <c:v>specmcf</c:v>
                  </c:pt>
                  <c:pt idx="12">
                    <c:v>specsjeng</c:v>
                  </c:pt>
                </c:lvl>
              </c:multiLvlStrCache>
            </c:multiLvlStrRef>
          </c:cat>
          <c:val>
            <c:numRef>
              <c:f>'l1i_assoc perf'!$B$5:$B$25</c:f>
              <c:numCache>
                <c:formatCode>General</c:formatCode>
                <c:ptCount val="15"/>
                <c:pt idx="0">
                  <c:v>4.5379184037345617</c:v>
                </c:pt>
                <c:pt idx="1">
                  <c:v>4.5300902091359632</c:v>
                </c:pt>
                <c:pt idx="2">
                  <c:v>5.7728234303847517</c:v>
                </c:pt>
                <c:pt idx="3">
                  <c:v>6.8626643608114408</c:v>
                </c:pt>
                <c:pt idx="4">
                  <c:v>6.8510982310464366</c:v>
                </c:pt>
                <c:pt idx="5">
                  <c:v>8.8079341871157535</c:v>
                </c:pt>
                <c:pt idx="6">
                  <c:v>1.1257961638914511</c:v>
                </c:pt>
                <c:pt idx="7">
                  <c:v>1.1238027083206987</c:v>
                </c:pt>
                <c:pt idx="8">
                  <c:v>1.4365564434210212</c:v>
                </c:pt>
                <c:pt idx="9">
                  <c:v>6.9717551818250136</c:v>
                </c:pt>
                <c:pt idx="10">
                  <c:v>6.9594344379414945</c:v>
                </c:pt>
                <c:pt idx="11">
                  <c:v>8.8216009319633226</c:v>
                </c:pt>
                <c:pt idx="12">
                  <c:v>6.2883041435390439</c:v>
                </c:pt>
                <c:pt idx="13">
                  <c:v>6.2779213297732239</c:v>
                </c:pt>
                <c:pt idx="14">
                  <c:v>7.975440746781989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B8F-4F30-A738-EE2CCD36F6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4022528"/>
        <c:axId val="284022856"/>
      </c:barChart>
      <c:catAx>
        <c:axId val="284022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L1I Associativity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84022856"/>
        <c:crosses val="autoZero"/>
        <c:auto val="1"/>
        <c:lblAlgn val="ctr"/>
        <c:lblOffset val="100"/>
        <c:noMultiLvlLbl val="0"/>
      </c:catAx>
      <c:valAx>
        <c:axId val="284022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Energy Efficiency/Instructions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8402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600"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[data_summary.xlsm]l2d_assoc w (2)!PivotTable1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'l2d_assoc w (2)'!$B$4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'l2d_assoc w (2)'!$A$5:$A$25</c:f>
              <c:multiLvlStrCache>
                <c:ptCount val="15"/>
                <c:lvl>
                  <c:pt idx="0">
                    <c:v>1</c:v>
                  </c:pt>
                  <c:pt idx="1">
                    <c:v>2</c:v>
                  </c:pt>
                  <c:pt idx="2">
                    <c:v>4</c:v>
                  </c:pt>
                  <c:pt idx="3">
                    <c:v>1</c:v>
                  </c:pt>
                  <c:pt idx="4">
                    <c:v>2</c:v>
                  </c:pt>
                  <c:pt idx="5">
                    <c:v>4</c:v>
                  </c:pt>
                  <c:pt idx="6">
                    <c:v>1</c:v>
                  </c:pt>
                  <c:pt idx="7">
                    <c:v>2</c:v>
                  </c:pt>
                  <c:pt idx="8">
                    <c:v>4</c:v>
                  </c:pt>
                  <c:pt idx="9">
                    <c:v>1</c:v>
                  </c:pt>
                  <c:pt idx="10">
                    <c:v>2</c:v>
                  </c:pt>
                  <c:pt idx="11">
                    <c:v>4</c:v>
                  </c:pt>
                  <c:pt idx="12">
                    <c:v>1</c:v>
                  </c:pt>
                  <c:pt idx="13">
                    <c:v>2</c:v>
                  </c:pt>
                  <c:pt idx="14">
                    <c:v>4</c:v>
                  </c:pt>
                </c:lvl>
                <c:lvl>
                  <c:pt idx="0">
                    <c:v>specbzip</c:v>
                  </c:pt>
                  <c:pt idx="3">
                    <c:v>spechmmer</c:v>
                  </c:pt>
                  <c:pt idx="6">
                    <c:v>speclibm</c:v>
                  </c:pt>
                  <c:pt idx="9">
                    <c:v>specmcf</c:v>
                  </c:pt>
                  <c:pt idx="12">
                    <c:v>specsjeng</c:v>
                  </c:pt>
                </c:lvl>
              </c:multiLvlStrCache>
            </c:multiLvlStrRef>
          </c:cat>
          <c:val>
            <c:numRef>
              <c:f>'l2d_assoc w (2)'!$B$5:$B$25</c:f>
              <c:numCache>
                <c:formatCode>General</c:formatCode>
                <c:ptCount val="15"/>
                <c:pt idx="0">
                  <c:v>1.2751189999999999</c:v>
                </c:pt>
                <c:pt idx="1">
                  <c:v>1.275447</c:v>
                </c:pt>
                <c:pt idx="2">
                  <c:v>1.275396</c:v>
                </c:pt>
                <c:pt idx="3">
                  <c:v>1.2348749999999999</c:v>
                </c:pt>
                <c:pt idx="4">
                  <c:v>1.234885</c:v>
                </c:pt>
                <c:pt idx="5">
                  <c:v>1.234893</c:v>
                </c:pt>
                <c:pt idx="6">
                  <c:v>1.261307</c:v>
                </c:pt>
                <c:pt idx="7">
                  <c:v>1.2613319999999999</c:v>
                </c:pt>
                <c:pt idx="8">
                  <c:v>1.2613859999999999</c:v>
                </c:pt>
                <c:pt idx="9">
                  <c:v>1.3011809999999999</c:v>
                </c:pt>
                <c:pt idx="10">
                  <c:v>1.301301</c:v>
                </c:pt>
                <c:pt idx="11">
                  <c:v>1.3013110000000001</c:v>
                </c:pt>
                <c:pt idx="12">
                  <c:v>1.290354</c:v>
                </c:pt>
                <c:pt idx="13">
                  <c:v>1.2903819999999999</c:v>
                </c:pt>
                <c:pt idx="14">
                  <c:v>1.2904059999999999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74-4A75-892C-FC75E9520044}"/>
            </c:ext>
          </c:extLst>
        </c:ser>
        <c:ser>
          <c:idx val="1"/>
          <c:order val="1"/>
          <c:tx>
            <c:strRef>
              <c:f>'l2d_assoc w (2)'!$C$4</c:f>
              <c:strCache>
                <c:ptCount val="1"/>
                <c:pt idx="0">
                  <c:v>Peak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'l2d_assoc w (2)'!$A$5:$A$25</c:f>
              <c:multiLvlStrCache>
                <c:ptCount val="15"/>
                <c:lvl>
                  <c:pt idx="0">
                    <c:v>1</c:v>
                  </c:pt>
                  <c:pt idx="1">
                    <c:v>2</c:v>
                  </c:pt>
                  <c:pt idx="2">
                    <c:v>4</c:v>
                  </c:pt>
                  <c:pt idx="3">
                    <c:v>1</c:v>
                  </c:pt>
                  <c:pt idx="4">
                    <c:v>2</c:v>
                  </c:pt>
                  <c:pt idx="5">
                    <c:v>4</c:v>
                  </c:pt>
                  <c:pt idx="6">
                    <c:v>1</c:v>
                  </c:pt>
                  <c:pt idx="7">
                    <c:v>2</c:v>
                  </c:pt>
                  <c:pt idx="8">
                    <c:v>4</c:v>
                  </c:pt>
                  <c:pt idx="9">
                    <c:v>1</c:v>
                  </c:pt>
                  <c:pt idx="10">
                    <c:v>2</c:v>
                  </c:pt>
                  <c:pt idx="11">
                    <c:v>4</c:v>
                  </c:pt>
                  <c:pt idx="12">
                    <c:v>1</c:v>
                  </c:pt>
                  <c:pt idx="13">
                    <c:v>2</c:v>
                  </c:pt>
                  <c:pt idx="14">
                    <c:v>4</c:v>
                  </c:pt>
                </c:lvl>
                <c:lvl>
                  <c:pt idx="0">
                    <c:v>specbzip</c:v>
                  </c:pt>
                  <c:pt idx="3">
                    <c:v>spechmmer</c:v>
                  </c:pt>
                  <c:pt idx="6">
                    <c:v>speclibm</c:v>
                  </c:pt>
                  <c:pt idx="9">
                    <c:v>specmcf</c:v>
                  </c:pt>
                  <c:pt idx="12">
                    <c:v>specsjeng</c:v>
                  </c:pt>
                </c:lvl>
              </c:multiLvlStrCache>
            </c:multiLvlStrRef>
          </c:cat>
          <c:val>
            <c:numRef>
              <c:f>'l2d_assoc w (2)'!$C$5:$C$25</c:f>
              <c:numCache>
                <c:formatCode>General</c:formatCode>
                <c:ptCount val="15"/>
                <c:pt idx="0">
                  <c:v>3.7819699999999998</c:v>
                </c:pt>
                <c:pt idx="1">
                  <c:v>3.7820100000000001</c:v>
                </c:pt>
                <c:pt idx="2">
                  <c:v>3.7822800000000001</c:v>
                </c:pt>
                <c:pt idx="3">
                  <c:v>3.7819699999999998</c:v>
                </c:pt>
                <c:pt idx="4">
                  <c:v>3.7820100000000001</c:v>
                </c:pt>
                <c:pt idx="5">
                  <c:v>3.7822800000000001</c:v>
                </c:pt>
                <c:pt idx="6">
                  <c:v>3.7819699999999998</c:v>
                </c:pt>
                <c:pt idx="7">
                  <c:v>3.7820100000000001</c:v>
                </c:pt>
                <c:pt idx="8">
                  <c:v>3.7822800000000001</c:v>
                </c:pt>
                <c:pt idx="9">
                  <c:v>3.7819699999999998</c:v>
                </c:pt>
                <c:pt idx="10">
                  <c:v>3.7820100000000001</c:v>
                </c:pt>
                <c:pt idx="11">
                  <c:v>3.7822800000000001</c:v>
                </c:pt>
                <c:pt idx="12">
                  <c:v>3.7819699999999998</c:v>
                </c:pt>
                <c:pt idx="13">
                  <c:v>3.7820100000000001</c:v>
                </c:pt>
                <c:pt idx="14">
                  <c:v>3.7822800000000001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74-4A75-892C-FC75E95200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4022528"/>
        <c:axId val="284022856"/>
      </c:barChart>
      <c:catAx>
        <c:axId val="284022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L2D Associativity</a:t>
                </a:r>
                <a:endParaRPr lang="en-US" baseline="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84022856"/>
        <c:crosses val="autoZero"/>
        <c:auto val="1"/>
        <c:lblAlgn val="ctr"/>
        <c:lblOffset val="100"/>
        <c:noMultiLvlLbl val="0"/>
      </c:catAx>
      <c:valAx>
        <c:axId val="284022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[W]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8402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8730801638725051"/>
          <c:y val="1.4312367308269094E-2"/>
          <c:w val="0.28947451679241204"/>
          <c:h val="6.0081829623997905E-2"/>
        </c:manualLayout>
      </c:layout>
      <c:overlay val="1"/>
      <c:spPr>
        <a:solidFill>
          <a:schemeClr val="bg1"/>
        </a:solidFill>
        <a:ln w="12700"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l-G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600"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[data_summary.xlsm]l2d_assoc area!PivotTable1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'l2d_assoc area'!$B$4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'l2d_assoc area'!$A$5:$A$25</c:f>
              <c:multiLvlStrCache>
                <c:ptCount val="15"/>
                <c:lvl>
                  <c:pt idx="0">
                    <c:v>1</c:v>
                  </c:pt>
                  <c:pt idx="1">
                    <c:v>2</c:v>
                  </c:pt>
                  <c:pt idx="2">
                    <c:v>4</c:v>
                  </c:pt>
                  <c:pt idx="3">
                    <c:v>1</c:v>
                  </c:pt>
                  <c:pt idx="4">
                    <c:v>2</c:v>
                  </c:pt>
                  <c:pt idx="5">
                    <c:v>4</c:v>
                  </c:pt>
                  <c:pt idx="6">
                    <c:v>1</c:v>
                  </c:pt>
                  <c:pt idx="7">
                    <c:v>2</c:v>
                  </c:pt>
                  <c:pt idx="8">
                    <c:v>4</c:v>
                  </c:pt>
                  <c:pt idx="9">
                    <c:v>1</c:v>
                  </c:pt>
                  <c:pt idx="10">
                    <c:v>2</c:v>
                  </c:pt>
                  <c:pt idx="11">
                    <c:v>4</c:v>
                  </c:pt>
                  <c:pt idx="12">
                    <c:v>1</c:v>
                  </c:pt>
                  <c:pt idx="13">
                    <c:v>2</c:v>
                  </c:pt>
                  <c:pt idx="14">
                    <c:v>4</c:v>
                  </c:pt>
                </c:lvl>
                <c:lvl>
                  <c:pt idx="0">
                    <c:v>specbzip</c:v>
                  </c:pt>
                  <c:pt idx="3">
                    <c:v>spechmmer</c:v>
                  </c:pt>
                  <c:pt idx="6">
                    <c:v>speclibm</c:v>
                  </c:pt>
                  <c:pt idx="9">
                    <c:v>specmcf</c:v>
                  </c:pt>
                  <c:pt idx="12">
                    <c:v>specsjeng</c:v>
                  </c:pt>
                </c:lvl>
              </c:multiLvlStrCache>
            </c:multiLvlStrRef>
          </c:cat>
          <c:val>
            <c:numRef>
              <c:f>'l2d_assoc area'!$B$5:$B$25</c:f>
              <c:numCache>
                <c:formatCode>General</c:formatCode>
                <c:ptCount val="15"/>
                <c:pt idx="0">
                  <c:v>10.7286</c:v>
                </c:pt>
                <c:pt idx="1">
                  <c:v>10.7277</c:v>
                </c:pt>
                <c:pt idx="2">
                  <c:v>10.7264</c:v>
                </c:pt>
                <c:pt idx="3">
                  <c:v>10.7286</c:v>
                </c:pt>
                <c:pt idx="4">
                  <c:v>10.7277</c:v>
                </c:pt>
                <c:pt idx="5">
                  <c:v>10.7264</c:v>
                </c:pt>
                <c:pt idx="6">
                  <c:v>10.7286</c:v>
                </c:pt>
                <c:pt idx="7">
                  <c:v>10.7277</c:v>
                </c:pt>
                <c:pt idx="8">
                  <c:v>10.7264</c:v>
                </c:pt>
                <c:pt idx="9">
                  <c:v>10.7286</c:v>
                </c:pt>
                <c:pt idx="10">
                  <c:v>10.7277</c:v>
                </c:pt>
                <c:pt idx="11">
                  <c:v>10.7264</c:v>
                </c:pt>
                <c:pt idx="12">
                  <c:v>10.7286</c:v>
                </c:pt>
                <c:pt idx="13">
                  <c:v>10.7277</c:v>
                </c:pt>
                <c:pt idx="14">
                  <c:v>10.7264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8A-4141-85FA-754513E0DA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4022528"/>
        <c:axId val="284022856"/>
      </c:barChart>
      <c:catAx>
        <c:axId val="284022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L2D Associativity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84022856"/>
        <c:crosses val="autoZero"/>
        <c:auto val="1"/>
        <c:lblAlgn val="ctr"/>
        <c:lblOffset val="100"/>
        <c:noMultiLvlLbl val="0"/>
      </c:catAx>
      <c:valAx>
        <c:axId val="284022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Area [mm²]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8402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600"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[data_summary.xlsm]l2d_assoc perf!PivotTable1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rgbClr val="00B0F0"/>
          </a:solidFill>
          <a:ln>
            <a:noFill/>
          </a:ln>
          <a:effectLst/>
        </c:spPr>
      </c:pivotFmt>
      <c:pivotFmt>
        <c:idx val="11"/>
        <c:spPr>
          <a:solidFill>
            <a:srgbClr val="00B0F0"/>
          </a:solidFill>
          <a:ln>
            <a:noFill/>
          </a:ln>
          <a:effectLst/>
        </c:spPr>
      </c:pivotFmt>
      <c:pivotFmt>
        <c:idx val="12"/>
        <c:spPr>
          <a:solidFill>
            <a:srgbClr val="00B0F0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rgbClr val="00B0F0"/>
          </a:solidFill>
          <a:ln>
            <a:noFill/>
          </a:ln>
          <a:effectLst/>
        </c:spPr>
      </c:pivotFmt>
      <c:pivotFmt>
        <c:idx val="15"/>
        <c:spPr>
          <a:solidFill>
            <a:srgbClr val="00B0F0"/>
          </a:solidFill>
          <a:ln>
            <a:noFill/>
          </a:ln>
          <a:effectLst/>
        </c:spPr>
      </c:pivotFmt>
      <c:pivotFmt>
        <c:idx val="16"/>
        <c:spPr>
          <a:solidFill>
            <a:srgbClr val="00B0F0"/>
          </a:solidFill>
          <a:ln>
            <a:noFill/>
          </a:ln>
          <a:effectLst/>
        </c:spPr>
      </c:pivotFmt>
      <c:pivotFmt>
        <c:idx val="17"/>
        <c:spPr>
          <a:solidFill>
            <a:srgbClr val="00B0F0"/>
          </a:solidFill>
          <a:ln>
            <a:noFill/>
          </a:ln>
          <a:effectLst/>
        </c:spPr>
      </c:pivotFmt>
      <c:pivotFmt>
        <c:idx val="18"/>
        <c:spPr>
          <a:solidFill>
            <a:srgbClr val="00B0F0"/>
          </a:solidFill>
          <a:ln>
            <a:noFill/>
          </a:ln>
          <a:effectLst/>
        </c:spPr>
      </c:pivotFmt>
      <c:pivotFmt>
        <c:idx val="19"/>
        <c:spPr>
          <a:solidFill>
            <a:srgbClr val="00B0F0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rgbClr val="00B0F0"/>
          </a:solidFill>
          <a:ln>
            <a:noFill/>
          </a:ln>
          <a:effectLst/>
        </c:spPr>
      </c:pivotFmt>
      <c:pivotFmt>
        <c:idx val="22"/>
        <c:spPr>
          <a:solidFill>
            <a:srgbClr val="00B0F0"/>
          </a:solidFill>
          <a:ln>
            <a:noFill/>
          </a:ln>
          <a:effectLst/>
        </c:spPr>
      </c:pivotFmt>
      <c:pivotFmt>
        <c:idx val="23"/>
        <c:spPr>
          <a:solidFill>
            <a:srgbClr val="00B0F0"/>
          </a:solidFill>
          <a:ln>
            <a:noFill/>
          </a:ln>
          <a:effectLst/>
        </c:spPr>
      </c:pivotFmt>
      <c:pivotFmt>
        <c:idx val="24"/>
        <c:spPr>
          <a:solidFill>
            <a:srgbClr val="00B0F0"/>
          </a:solidFill>
          <a:ln>
            <a:noFill/>
          </a:ln>
          <a:effectLst/>
        </c:spPr>
      </c:pivotFmt>
      <c:pivotFmt>
        <c:idx val="25"/>
        <c:spPr>
          <a:solidFill>
            <a:srgbClr val="00B0F0"/>
          </a:solidFill>
          <a:ln>
            <a:noFill/>
          </a:ln>
          <a:effectLst/>
        </c:spPr>
      </c:pivotFmt>
      <c:pivotFmt>
        <c:idx val="26"/>
        <c:spPr>
          <a:solidFill>
            <a:srgbClr val="00B0F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'l2d_assoc perf'!$B$4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51A-4F6B-BFB5-9DE6A62314F4}"/>
              </c:ext>
            </c:extLst>
          </c:dPt>
          <c:dPt>
            <c:idx val="4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51A-4F6B-BFB5-9DE6A62314F4}"/>
              </c:ext>
            </c:extLst>
          </c:dPt>
          <c:dPt>
            <c:idx val="5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51A-4F6B-BFB5-9DE6A62314F4}"/>
              </c:ext>
            </c:extLst>
          </c:dPt>
          <c:cat>
            <c:multiLvlStrRef>
              <c:f>'l2d_assoc perf'!$A$5:$A$25</c:f>
              <c:multiLvlStrCache>
                <c:ptCount val="15"/>
                <c:lvl>
                  <c:pt idx="0">
                    <c:v>1</c:v>
                  </c:pt>
                  <c:pt idx="1">
                    <c:v>2</c:v>
                  </c:pt>
                  <c:pt idx="2">
                    <c:v>4</c:v>
                  </c:pt>
                  <c:pt idx="3">
                    <c:v>1</c:v>
                  </c:pt>
                  <c:pt idx="4">
                    <c:v>2</c:v>
                  </c:pt>
                  <c:pt idx="5">
                    <c:v>4</c:v>
                  </c:pt>
                  <c:pt idx="6">
                    <c:v>1</c:v>
                  </c:pt>
                  <c:pt idx="7">
                    <c:v>2</c:v>
                  </c:pt>
                  <c:pt idx="8">
                    <c:v>4</c:v>
                  </c:pt>
                  <c:pt idx="9">
                    <c:v>1</c:v>
                  </c:pt>
                  <c:pt idx="10">
                    <c:v>2</c:v>
                  </c:pt>
                  <c:pt idx="11">
                    <c:v>4</c:v>
                  </c:pt>
                  <c:pt idx="12">
                    <c:v>1</c:v>
                  </c:pt>
                  <c:pt idx="13">
                    <c:v>2</c:v>
                  </c:pt>
                  <c:pt idx="14">
                    <c:v>4</c:v>
                  </c:pt>
                </c:lvl>
                <c:lvl>
                  <c:pt idx="0">
                    <c:v>specbzip</c:v>
                  </c:pt>
                  <c:pt idx="3">
                    <c:v>spechmmer</c:v>
                  </c:pt>
                  <c:pt idx="6">
                    <c:v>speclibm</c:v>
                  </c:pt>
                  <c:pt idx="9">
                    <c:v>specmcf</c:v>
                  </c:pt>
                  <c:pt idx="12">
                    <c:v>specsjeng</c:v>
                  </c:pt>
                </c:lvl>
              </c:multiLvlStrCache>
            </c:multiLvlStrRef>
          </c:cat>
          <c:val>
            <c:numRef>
              <c:f>'l2d_assoc perf'!$B$5:$B$25</c:f>
              <c:numCache>
                <c:formatCode>General</c:formatCode>
                <c:ptCount val="15"/>
                <c:pt idx="0">
                  <c:v>4.4941378039542128</c:v>
                </c:pt>
                <c:pt idx="1">
                  <c:v>4.5379184037345617</c:v>
                </c:pt>
                <c:pt idx="2">
                  <c:v>4.5422799872649007</c:v>
                </c:pt>
                <c:pt idx="3">
                  <c:v>6.8626643608114408</c:v>
                </c:pt>
                <c:pt idx="4">
                  <c:v>6.8626643608114408</c:v>
                </c:pt>
                <c:pt idx="5">
                  <c:v>6.8625701697799864</c:v>
                </c:pt>
                <c:pt idx="6">
                  <c:v>1.125804089105759</c:v>
                </c:pt>
                <c:pt idx="7">
                  <c:v>1.1257961638914511</c:v>
                </c:pt>
                <c:pt idx="8">
                  <c:v>1.1257271876800166</c:v>
                </c:pt>
                <c:pt idx="9">
                  <c:v>6.9637428134348252</c:v>
                </c:pt>
                <c:pt idx="10">
                  <c:v>6.9717551818250136</c:v>
                </c:pt>
                <c:pt idx="11">
                  <c:v>6.9727770164551188</c:v>
                </c:pt>
                <c:pt idx="12">
                  <c:v>6.2868081615947089</c:v>
                </c:pt>
                <c:pt idx="13">
                  <c:v>6.2883041435390439</c:v>
                </c:pt>
                <c:pt idx="14">
                  <c:v>6.2886464443794914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51A-4F6B-BFB5-9DE6A62314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4022528"/>
        <c:axId val="284022856"/>
      </c:barChart>
      <c:catAx>
        <c:axId val="284022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L2D Associativity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84022856"/>
        <c:crosses val="autoZero"/>
        <c:auto val="1"/>
        <c:lblAlgn val="ctr"/>
        <c:lblOffset val="100"/>
        <c:noMultiLvlLbl val="0"/>
      </c:catAx>
      <c:valAx>
        <c:axId val="284022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Energy Efficiency/Instructions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8402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600"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[data_summary.xlsm]l2 size w (2)!PivotTable1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'l2 size w (2)'!$B$4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'l2 size w (2)'!$A$5:$A$35</c:f>
              <c:multiLvlStrCache>
                <c:ptCount val="25"/>
                <c:lvl>
                  <c:pt idx="0">
                    <c:v>256</c:v>
                  </c:pt>
                  <c:pt idx="1">
                    <c:v>512</c:v>
                  </c:pt>
                  <c:pt idx="2">
                    <c:v>1024</c:v>
                  </c:pt>
                  <c:pt idx="3">
                    <c:v>2048</c:v>
                  </c:pt>
                  <c:pt idx="4">
                    <c:v>4096</c:v>
                  </c:pt>
                  <c:pt idx="5">
                    <c:v>256</c:v>
                  </c:pt>
                  <c:pt idx="6">
                    <c:v>512</c:v>
                  </c:pt>
                  <c:pt idx="7">
                    <c:v>1024</c:v>
                  </c:pt>
                  <c:pt idx="8">
                    <c:v>2048</c:v>
                  </c:pt>
                  <c:pt idx="9">
                    <c:v>4096</c:v>
                  </c:pt>
                  <c:pt idx="10">
                    <c:v>256</c:v>
                  </c:pt>
                  <c:pt idx="11">
                    <c:v>512</c:v>
                  </c:pt>
                  <c:pt idx="12">
                    <c:v>1024</c:v>
                  </c:pt>
                  <c:pt idx="13">
                    <c:v>2048</c:v>
                  </c:pt>
                  <c:pt idx="14">
                    <c:v>4096</c:v>
                  </c:pt>
                  <c:pt idx="15">
                    <c:v>256</c:v>
                  </c:pt>
                  <c:pt idx="16">
                    <c:v>512</c:v>
                  </c:pt>
                  <c:pt idx="17">
                    <c:v>1024</c:v>
                  </c:pt>
                  <c:pt idx="18">
                    <c:v>2048</c:v>
                  </c:pt>
                  <c:pt idx="19">
                    <c:v>4096</c:v>
                  </c:pt>
                  <c:pt idx="20">
                    <c:v>256</c:v>
                  </c:pt>
                  <c:pt idx="21">
                    <c:v>512</c:v>
                  </c:pt>
                  <c:pt idx="22">
                    <c:v>1024</c:v>
                  </c:pt>
                  <c:pt idx="23">
                    <c:v>2048</c:v>
                  </c:pt>
                  <c:pt idx="24">
                    <c:v>4096</c:v>
                  </c:pt>
                </c:lvl>
                <c:lvl>
                  <c:pt idx="0">
                    <c:v>specbzip</c:v>
                  </c:pt>
                  <c:pt idx="5">
                    <c:v>spechmmer</c:v>
                  </c:pt>
                  <c:pt idx="10">
                    <c:v>speclibm</c:v>
                  </c:pt>
                  <c:pt idx="15">
                    <c:v>specmcf</c:v>
                  </c:pt>
                  <c:pt idx="20">
                    <c:v>specsjeng</c:v>
                  </c:pt>
                </c:lvl>
              </c:multiLvlStrCache>
            </c:multiLvlStrRef>
          </c:cat>
          <c:val>
            <c:numRef>
              <c:f>'l2 size w (2)'!$B$5:$B$35</c:f>
              <c:numCache>
                <c:formatCode>General</c:formatCode>
                <c:ptCount val="25"/>
                <c:pt idx="0">
                  <c:v>1.2724179999999998</c:v>
                </c:pt>
                <c:pt idx="1">
                  <c:v>1.275447</c:v>
                </c:pt>
                <c:pt idx="2">
                  <c:v>1.281031</c:v>
                </c:pt>
                <c:pt idx="3">
                  <c:v>1.2893019999999999</c:v>
                </c:pt>
                <c:pt idx="4">
                  <c:v>1.3013490000000001</c:v>
                </c:pt>
                <c:pt idx="5">
                  <c:v>1.233922</c:v>
                </c:pt>
                <c:pt idx="6">
                  <c:v>1.234885</c:v>
                </c:pt>
                <c:pt idx="7">
                  <c:v>1.2372319999999999</c:v>
                </c:pt>
                <c:pt idx="8">
                  <c:v>1.2406280000000001</c:v>
                </c:pt>
                <c:pt idx="9">
                  <c:v>1.2467780000000002</c:v>
                </c:pt>
                <c:pt idx="10">
                  <c:v>1.2596289999999999</c:v>
                </c:pt>
                <c:pt idx="11">
                  <c:v>1.2613319999999999</c:v>
                </c:pt>
                <c:pt idx="12">
                  <c:v>1.265568</c:v>
                </c:pt>
                <c:pt idx="13">
                  <c:v>1.2718769999999999</c:v>
                </c:pt>
                <c:pt idx="14">
                  <c:v>1.2809360000000001</c:v>
                </c:pt>
                <c:pt idx="15">
                  <c:v>1.300522</c:v>
                </c:pt>
                <c:pt idx="16">
                  <c:v>1.301301</c:v>
                </c:pt>
                <c:pt idx="17">
                  <c:v>1.303132</c:v>
                </c:pt>
                <c:pt idx="18">
                  <c:v>1.305647</c:v>
                </c:pt>
                <c:pt idx="19">
                  <c:v>1.3107580000000001</c:v>
                </c:pt>
                <c:pt idx="20">
                  <c:v>1.289064</c:v>
                </c:pt>
                <c:pt idx="21">
                  <c:v>1.2903819999999999</c:v>
                </c:pt>
                <c:pt idx="22">
                  <c:v>1.2932379999999999</c:v>
                </c:pt>
                <c:pt idx="23">
                  <c:v>1.2973680000000001</c:v>
                </c:pt>
                <c:pt idx="24">
                  <c:v>1.3043550000000002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EE-44B4-844A-84789C078678}"/>
            </c:ext>
          </c:extLst>
        </c:ser>
        <c:ser>
          <c:idx val="1"/>
          <c:order val="1"/>
          <c:tx>
            <c:strRef>
              <c:f>'l2 size w (2)'!$C$4</c:f>
              <c:strCache>
                <c:ptCount val="1"/>
                <c:pt idx="0">
                  <c:v>Peak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'l2 size w (2)'!$A$5:$A$35</c:f>
              <c:multiLvlStrCache>
                <c:ptCount val="25"/>
                <c:lvl>
                  <c:pt idx="0">
                    <c:v>256</c:v>
                  </c:pt>
                  <c:pt idx="1">
                    <c:v>512</c:v>
                  </c:pt>
                  <c:pt idx="2">
                    <c:v>1024</c:v>
                  </c:pt>
                  <c:pt idx="3">
                    <c:v>2048</c:v>
                  </c:pt>
                  <c:pt idx="4">
                    <c:v>4096</c:v>
                  </c:pt>
                  <c:pt idx="5">
                    <c:v>256</c:v>
                  </c:pt>
                  <c:pt idx="6">
                    <c:v>512</c:v>
                  </c:pt>
                  <c:pt idx="7">
                    <c:v>1024</c:v>
                  </c:pt>
                  <c:pt idx="8">
                    <c:v>2048</c:v>
                  </c:pt>
                  <c:pt idx="9">
                    <c:v>4096</c:v>
                  </c:pt>
                  <c:pt idx="10">
                    <c:v>256</c:v>
                  </c:pt>
                  <c:pt idx="11">
                    <c:v>512</c:v>
                  </c:pt>
                  <c:pt idx="12">
                    <c:v>1024</c:v>
                  </c:pt>
                  <c:pt idx="13">
                    <c:v>2048</c:v>
                  </c:pt>
                  <c:pt idx="14">
                    <c:v>4096</c:v>
                  </c:pt>
                  <c:pt idx="15">
                    <c:v>256</c:v>
                  </c:pt>
                  <c:pt idx="16">
                    <c:v>512</c:v>
                  </c:pt>
                  <c:pt idx="17">
                    <c:v>1024</c:v>
                  </c:pt>
                  <c:pt idx="18">
                    <c:v>2048</c:v>
                  </c:pt>
                  <c:pt idx="19">
                    <c:v>4096</c:v>
                  </c:pt>
                  <c:pt idx="20">
                    <c:v>256</c:v>
                  </c:pt>
                  <c:pt idx="21">
                    <c:v>512</c:v>
                  </c:pt>
                  <c:pt idx="22">
                    <c:v>1024</c:v>
                  </c:pt>
                  <c:pt idx="23">
                    <c:v>2048</c:v>
                  </c:pt>
                  <c:pt idx="24">
                    <c:v>4096</c:v>
                  </c:pt>
                </c:lvl>
                <c:lvl>
                  <c:pt idx="0">
                    <c:v>specbzip</c:v>
                  </c:pt>
                  <c:pt idx="5">
                    <c:v>spechmmer</c:v>
                  </c:pt>
                  <c:pt idx="10">
                    <c:v>speclibm</c:v>
                  </c:pt>
                  <c:pt idx="15">
                    <c:v>specmcf</c:v>
                  </c:pt>
                  <c:pt idx="20">
                    <c:v>specsjeng</c:v>
                  </c:pt>
                </c:lvl>
              </c:multiLvlStrCache>
            </c:multiLvlStrRef>
          </c:cat>
          <c:val>
            <c:numRef>
              <c:f>'l2 size w (2)'!$C$5:$C$35</c:f>
              <c:numCache>
                <c:formatCode>General</c:formatCode>
                <c:ptCount val="25"/>
                <c:pt idx="0">
                  <c:v>3.7515200000000002</c:v>
                </c:pt>
                <c:pt idx="1">
                  <c:v>3.7820100000000001</c:v>
                </c:pt>
                <c:pt idx="2">
                  <c:v>3.8508</c:v>
                </c:pt>
                <c:pt idx="3">
                  <c:v>3.9575200000000001</c:v>
                </c:pt>
                <c:pt idx="4">
                  <c:v>4.0805100000000003</c:v>
                </c:pt>
                <c:pt idx="5">
                  <c:v>3.7515200000000002</c:v>
                </c:pt>
                <c:pt idx="6">
                  <c:v>3.7820100000000001</c:v>
                </c:pt>
                <c:pt idx="7">
                  <c:v>3.8508</c:v>
                </c:pt>
                <c:pt idx="8">
                  <c:v>3.9575200000000001</c:v>
                </c:pt>
                <c:pt idx="9">
                  <c:v>4.0805100000000003</c:v>
                </c:pt>
                <c:pt idx="10">
                  <c:v>3.7515200000000002</c:v>
                </c:pt>
                <c:pt idx="11">
                  <c:v>3.7820100000000001</c:v>
                </c:pt>
                <c:pt idx="12">
                  <c:v>3.8508</c:v>
                </c:pt>
                <c:pt idx="13">
                  <c:v>3.9575200000000001</c:v>
                </c:pt>
                <c:pt idx="14">
                  <c:v>4.0805100000000003</c:v>
                </c:pt>
                <c:pt idx="15">
                  <c:v>3.7515200000000002</c:v>
                </c:pt>
                <c:pt idx="16">
                  <c:v>3.7820100000000001</c:v>
                </c:pt>
                <c:pt idx="17">
                  <c:v>3.8508</c:v>
                </c:pt>
                <c:pt idx="18">
                  <c:v>3.9575200000000001</c:v>
                </c:pt>
                <c:pt idx="19">
                  <c:v>4.0805100000000003</c:v>
                </c:pt>
                <c:pt idx="20">
                  <c:v>3.7515200000000002</c:v>
                </c:pt>
                <c:pt idx="21">
                  <c:v>3.7820100000000001</c:v>
                </c:pt>
                <c:pt idx="22">
                  <c:v>3.8508</c:v>
                </c:pt>
                <c:pt idx="23">
                  <c:v>3.9575200000000001</c:v>
                </c:pt>
                <c:pt idx="24">
                  <c:v>4.0805100000000003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EE-44B4-844A-84789C0786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4022528"/>
        <c:axId val="284022856"/>
      </c:barChart>
      <c:catAx>
        <c:axId val="284022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L2 Size [kB]</a:t>
                </a:r>
                <a:endParaRPr lang="en-US" baseline="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84022856"/>
        <c:crosses val="autoZero"/>
        <c:auto val="1"/>
        <c:lblAlgn val="ctr"/>
        <c:lblOffset val="100"/>
        <c:noMultiLvlLbl val="0"/>
      </c:catAx>
      <c:valAx>
        <c:axId val="284022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[W]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8402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8730801638725051"/>
          <c:y val="1.4312367308269094E-2"/>
          <c:w val="0.28947451679241204"/>
          <c:h val="6.0081829623997905E-2"/>
        </c:manualLayout>
      </c:layout>
      <c:overlay val="1"/>
      <c:spPr>
        <a:solidFill>
          <a:schemeClr val="bg1"/>
        </a:solidFill>
        <a:ln w="12700"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l-G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600"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[data_summary.xlsm]l2 size area!PivotTable1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'l2 size area'!$B$4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'l2 size area'!$A$5:$A$35</c:f>
              <c:multiLvlStrCache>
                <c:ptCount val="25"/>
                <c:lvl>
                  <c:pt idx="0">
                    <c:v>256</c:v>
                  </c:pt>
                  <c:pt idx="1">
                    <c:v>512</c:v>
                  </c:pt>
                  <c:pt idx="2">
                    <c:v>1024</c:v>
                  </c:pt>
                  <c:pt idx="3">
                    <c:v>2048</c:v>
                  </c:pt>
                  <c:pt idx="4">
                    <c:v>4096</c:v>
                  </c:pt>
                  <c:pt idx="5">
                    <c:v>256</c:v>
                  </c:pt>
                  <c:pt idx="6">
                    <c:v>512</c:v>
                  </c:pt>
                  <c:pt idx="7">
                    <c:v>1024</c:v>
                  </c:pt>
                  <c:pt idx="8">
                    <c:v>2048</c:v>
                  </c:pt>
                  <c:pt idx="9">
                    <c:v>4096</c:v>
                  </c:pt>
                  <c:pt idx="10">
                    <c:v>256</c:v>
                  </c:pt>
                  <c:pt idx="11">
                    <c:v>512</c:v>
                  </c:pt>
                  <c:pt idx="12">
                    <c:v>1024</c:v>
                  </c:pt>
                  <c:pt idx="13">
                    <c:v>2048</c:v>
                  </c:pt>
                  <c:pt idx="14">
                    <c:v>4096</c:v>
                  </c:pt>
                  <c:pt idx="15">
                    <c:v>256</c:v>
                  </c:pt>
                  <c:pt idx="16">
                    <c:v>512</c:v>
                  </c:pt>
                  <c:pt idx="17">
                    <c:v>1024</c:v>
                  </c:pt>
                  <c:pt idx="18">
                    <c:v>2048</c:v>
                  </c:pt>
                  <c:pt idx="19">
                    <c:v>4096</c:v>
                  </c:pt>
                  <c:pt idx="20">
                    <c:v>256</c:v>
                  </c:pt>
                  <c:pt idx="21">
                    <c:v>512</c:v>
                  </c:pt>
                  <c:pt idx="22">
                    <c:v>1024</c:v>
                  </c:pt>
                  <c:pt idx="23">
                    <c:v>2048</c:v>
                  </c:pt>
                  <c:pt idx="24">
                    <c:v>4096</c:v>
                  </c:pt>
                </c:lvl>
                <c:lvl>
                  <c:pt idx="0">
                    <c:v>specbzip</c:v>
                  </c:pt>
                  <c:pt idx="5">
                    <c:v>spechmmer</c:v>
                  </c:pt>
                  <c:pt idx="10">
                    <c:v>speclibm</c:v>
                  </c:pt>
                  <c:pt idx="15">
                    <c:v>specmcf</c:v>
                  </c:pt>
                  <c:pt idx="20">
                    <c:v>specsjeng</c:v>
                  </c:pt>
                </c:lvl>
              </c:multiLvlStrCache>
            </c:multiLvlStrRef>
          </c:cat>
          <c:val>
            <c:numRef>
              <c:f>'l2 size area'!$B$5:$B$35</c:f>
              <c:numCache>
                <c:formatCode>General</c:formatCode>
                <c:ptCount val="25"/>
                <c:pt idx="0">
                  <c:v>10.182499999999999</c:v>
                </c:pt>
                <c:pt idx="1">
                  <c:v>10.7277</c:v>
                </c:pt>
                <c:pt idx="2">
                  <c:v>12.81</c:v>
                </c:pt>
                <c:pt idx="3">
                  <c:v>16.329799999999999</c:v>
                </c:pt>
                <c:pt idx="4">
                  <c:v>21.516200000000001</c:v>
                </c:pt>
                <c:pt idx="5">
                  <c:v>10.182499999999999</c:v>
                </c:pt>
                <c:pt idx="6">
                  <c:v>10.7277</c:v>
                </c:pt>
                <c:pt idx="7">
                  <c:v>12.81</c:v>
                </c:pt>
                <c:pt idx="8">
                  <c:v>16.329799999999999</c:v>
                </c:pt>
                <c:pt idx="9">
                  <c:v>21.516200000000001</c:v>
                </c:pt>
                <c:pt idx="10">
                  <c:v>10.182499999999999</c:v>
                </c:pt>
                <c:pt idx="11">
                  <c:v>10.7277</c:v>
                </c:pt>
                <c:pt idx="12">
                  <c:v>12.81</c:v>
                </c:pt>
                <c:pt idx="13">
                  <c:v>16.329799999999999</c:v>
                </c:pt>
                <c:pt idx="14">
                  <c:v>21.516200000000001</c:v>
                </c:pt>
                <c:pt idx="15">
                  <c:v>10.182499999999999</c:v>
                </c:pt>
                <c:pt idx="16">
                  <c:v>10.7277</c:v>
                </c:pt>
                <c:pt idx="17">
                  <c:v>12.81</c:v>
                </c:pt>
                <c:pt idx="18">
                  <c:v>16.329799999999999</c:v>
                </c:pt>
                <c:pt idx="19">
                  <c:v>21.516200000000001</c:v>
                </c:pt>
                <c:pt idx="20">
                  <c:v>10.182499999999999</c:v>
                </c:pt>
                <c:pt idx="21">
                  <c:v>10.7277</c:v>
                </c:pt>
                <c:pt idx="22">
                  <c:v>12.81</c:v>
                </c:pt>
                <c:pt idx="23">
                  <c:v>16.329799999999999</c:v>
                </c:pt>
                <c:pt idx="24">
                  <c:v>21.516200000000001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8B-453E-A185-6A06B5C9A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4022528"/>
        <c:axId val="284022856"/>
      </c:barChart>
      <c:catAx>
        <c:axId val="284022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L2 Size [kB]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84022856"/>
        <c:crosses val="autoZero"/>
        <c:auto val="1"/>
        <c:lblAlgn val="ctr"/>
        <c:lblOffset val="100"/>
        <c:noMultiLvlLbl val="0"/>
      </c:catAx>
      <c:valAx>
        <c:axId val="284022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Area [mm²]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8402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600"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[data_summary.xlsm]l2 size perf!PivotTable1</c:name>
    <c:fmtId val="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rgbClr val="00B0F0"/>
          </a:solidFill>
          <a:ln>
            <a:noFill/>
          </a:ln>
          <a:effectLst/>
        </c:spPr>
      </c:pivotFmt>
      <c:pivotFmt>
        <c:idx val="11"/>
        <c:spPr>
          <a:solidFill>
            <a:srgbClr val="00B0F0"/>
          </a:solidFill>
          <a:ln>
            <a:noFill/>
          </a:ln>
          <a:effectLst/>
        </c:spPr>
      </c:pivotFmt>
      <c:pivotFmt>
        <c:idx val="12"/>
        <c:spPr>
          <a:solidFill>
            <a:srgbClr val="00B0F0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rgbClr val="00B0F0"/>
          </a:solidFill>
          <a:ln>
            <a:noFill/>
          </a:ln>
          <a:effectLst/>
        </c:spPr>
      </c:pivotFmt>
      <c:pivotFmt>
        <c:idx val="15"/>
        <c:spPr>
          <a:solidFill>
            <a:srgbClr val="00B0F0"/>
          </a:solidFill>
          <a:ln>
            <a:noFill/>
          </a:ln>
          <a:effectLst/>
        </c:spPr>
      </c:pivotFmt>
      <c:pivotFmt>
        <c:idx val="16"/>
        <c:spPr>
          <a:solidFill>
            <a:srgbClr val="00B0F0"/>
          </a:solidFill>
          <a:ln>
            <a:noFill/>
          </a:ln>
          <a:effectLst/>
        </c:spPr>
      </c:pivotFmt>
      <c:pivotFmt>
        <c:idx val="17"/>
        <c:spPr>
          <a:solidFill>
            <a:srgbClr val="00B0F0"/>
          </a:solidFill>
          <a:ln>
            <a:noFill/>
          </a:ln>
          <a:effectLst/>
        </c:spPr>
      </c:pivotFmt>
      <c:pivotFmt>
        <c:idx val="18"/>
        <c:spPr>
          <a:solidFill>
            <a:srgbClr val="00B0F0"/>
          </a:solidFill>
          <a:ln>
            <a:noFill/>
          </a:ln>
          <a:effectLst/>
        </c:spPr>
      </c:pivotFmt>
      <c:pivotFmt>
        <c:idx val="19"/>
        <c:spPr>
          <a:solidFill>
            <a:srgbClr val="00B0F0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rgbClr val="00B0F0"/>
          </a:solidFill>
          <a:ln>
            <a:noFill/>
          </a:ln>
          <a:effectLst/>
        </c:spPr>
      </c:pivotFmt>
      <c:pivotFmt>
        <c:idx val="22"/>
        <c:spPr>
          <a:solidFill>
            <a:srgbClr val="00B0F0"/>
          </a:solidFill>
          <a:ln>
            <a:noFill/>
          </a:ln>
          <a:effectLst/>
        </c:spPr>
      </c:pivotFmt>
      <c:pivotFmt>
        <c:idx val="23"/>
        <c:spPr>
          <a:solidFill>
            <a:srgbClr val="00B0F0"/>
          </a:solidFill>
          <a:ln>
            <a:noFill/>
          </a:ln>
          <a:effectLst/>
        </c:spPr>
      </c:pivotFmt>
      <c:pivotFmt>
        <c:idx val="24"/>
        <c:spPr>
          <a:solidFill>
            <a:srgbClr val="00B0F0"/>
          </a:solidFill>
          <a:ln>
            <a:noFill/>
          </a:ln>
          <a:effectLst/>
        </c:spPr>
      </c:pivotFmt>
      <c:pivotFmt>
        <c:idx val="25"/>
        <c:spPr>
          <a:solidFill>
            <a:srgbClr val="00B0F0"/>
          </a:solidFill>
          <a:ln>
            <a:noFill/>
          </a:ln>
          <a:effectLst/>
        </c:spPr>
      </c:pivotFmt>
      <c:pivotFmt>
        <c:idx val="26"/>
        <c:spPr>
          <a:solidFill>
            <a:srgbClr val="00B0F0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rgbClr val="00B0F0"/>
          </a:solidFill>
          <a:ln>
            <a:noFill/>
          </a:ln>
          <a:effectLst/>
        </c:spPr>
      </c:pivotFmt>
      <c:pivotFmt>
        <c:idx val="29"/>
        <c:spPr>
          <a:solidFill>
            <a:srgbClr val="00B0F0"/>
          </a:solidFill>
          <a:ln>
            <a:noFill/>
          </a:ln>
          <a:effectLst/>
        </c:spPr>
      </c:pivotFmt>
      <c:pivotFmt>
        <c:idx val="30"/>
        <c:spPr>
          <a:solidFill>
            <a:srgbClr val="00B0F0"/>
          </a:solidFill>
          <a:ln>
            <a:noFill/>
          </a:ln>
          <a:effectLst/>
        </c:spPr>
      </c:pivotFmt>
      <c:pivotFmt>
        <c:idx val="31"/>
        <c:spPr>
          <a:solidFill>
            <a:srgbClr val="00B0F0"/>
          </a:solidFill>
          <a:ln>
            <a:noFill/>
          </a:ln>
          <a:effectLst/>
        </c:spPr>
      </c:pivotFmt>
      <c:pivotFmt>
        <c:idx val="32"/>
        <c:spPr>
          <a:solidFill>
            <a:srgbClr val="00B0F0"/>
          </a:solidFill>
          <a:ln>
            <a:noFill/>
          </a:ln>
          <a:effectLst/>
        </c:spPr>
      </c:pivotFmt>
      <c:pivotFmt>
        <c:idx val="33"/>
        <c:spPr>
          <a:solidFill>
            <a:srgbClr val="00B0F0"/>
          </a:solidFill>
          <a:ln>
            <a:noFill/>
          </a:ln>
          <a:effectLst/>
        </c:spPr>
      </c:pivotFmt>
      <c:pivotFmt>
        <c:idx val="34"/>
        <c:spPr>
          <a:solidFill>
            <a:srgbClr val="00B0F0"/>
          </a:solidFill>
          <a:ln>
            <a:noFill/>
          </a:ln>
          <a:effectLst/>
        </c:spPr>
      </c:pivotFmt>
      <c:pivotFmt>
        <c:idx val="35"/>
        <c:spPr>
          <a:solidFill>
            <a:srgbClr val="00B0F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'l2 size perf'!$B$4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7E7-4D3E-89BD-8E1630F964D8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7E7-4D3E-89BD-8E1630F964D8}"/>
              </c:ext>
            </c:extLst>
          </c:dPt>
          <c:dPt>
            <c:idx val="5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7E7-4D3E-89BD-8E1630F964D8}"/>
              </c:ext>
            </c:extLst>
          </c:dPt>
          <c:dPt>
            <c:idx val="6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7E7-4D3E-89BD-8E1630F964D8}"/>
              </c:ext>
            </c:extLst>
          </c:dPt>
          <c:dPt>
            <c:idx val="7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87E7-4D3E-89BD-8E1630F964D8}"/>
              </c:ext>
            </c:extLst>
          </c:dPt>
          <c:dPt>
            <c:idx val="8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7E7-4D3E-89BD-8E1630F964D8}"/>
              </c:ext>
            </c:extLst>
          </c:dPt>
          <c:dPt>
            <c:idx val="9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87E7-4D3E-89BD-8E1630F964D8}"/>
              </c:ext>
            </c:extLst>
          </c:dPt>
          <c:cat>
            <c:multiLvlStrRef>
              <c:f>'l2 size perf'!$A$5:$A$35</c:f>
              <c:multiLvlStrCache>
                <c:ptCount val="25"/>
                <c:lvl>
                  <c:pt idx="0">
                    <c:v>256</c:v>
                  </c:pt>
                  <c:pt idx="1">
                    <c:v>512</c:v>
                  </c:pt>
                  <c:pt idx="2">
                    <c:v>1024</c:v>
                  </c:pt>
                  <c:pt idx="3">
                    <c:v>2048</c:v>
                  </c:pt>
                  <c:pt idx="4">
                    <c:v>4096</c:v>
                  </c:pt>
                  <c:pt idx="5">
                    <c:v>256</c:v>
                  </c:pt>
                  <c:pt idx="6">
                    <c:v>512</c:v>
                  </c:pt>
                  <c:pt idx="7">
                    <c:v>1024</c:v>
                  </c:pt>
                  <c:pt idx="8">
                    <c:v>2048</c:v>
                  </c:pt>
                  <c:pt idx="9">
                    <c:v>4096</c:v>
                  </c:pt>
                  <c:pt idx="10">
                    <c:v>256</c:v>
                  </c:pt>
                  <c:pt idx="11">
                    <c:v>512</c:v>
                  </c:pt>
                  <c:pt idx="12">
                    <c:v>1024</c:v>
                  </c:pt>
                  <c:pt idx="13">
                    <c:v>2048</c:v>
                  </c:pt>
                  <c:pt idx="14">
                    <c:v>4096</c:v>
                  </c:pt>
                  <c:pt idx="15">
                    <c:v>256</c:v>
                  </c:pt>
                  <c:pt idx="16">
                    <c:v>512</c:v>
                  </c:pt>
                  <c:pt idx="17">
                    <c:v>1024</c:v>
                  </c:pt>
                  <c:pt idx="18">
                    <c:v>2048</c:v>
                  </c:pt>
                  <c:pt idx="19">
                    <c:v>4096</c:v>
                  </c:pt>
                  <c:pt idx="20">
                    <c:v>256</c:v>
                  </c:pt>
                  <c:pt idx="21">
                    <c:v>512</c:v>
                  </c:pt>
                  <c:pt idx="22">
                    <c:v>1024</c:v>
                  </c:pt>
                  <c:pt idx="23">
                    <c:v>2048</c:v>
                  </c:pt>
                  <c:pt idx="24">
                    <c:v>4096</c:v>
                  </c:pt>
                </c:lvl>
                <c:lvl>
                  <c:pt idx="0">
                    <c:v>specbzip</c:v>
                  </c:pt>
                  <c:pt idx="5">
                    <c:v>spechmmer</c:v>
                  </c:pt>
                  <c:pt idx="10">
                    <c:v>speclibm</c:v>
                  </c:pt>
                  <c:pt idx="15">
                    <c:v>specmcf</c:v>
                  </c:pt>
                  <c:pt idx="20">
                    <c:v>specsjeng</c:v>
                  </c:pt>
                </c:lvl>
              </c:multiLvlStrCache>
            </c:multiLvlStrRef>
          </c:cat>
          <c:val>
            <c:numRef>
              <c:f>'l2 size perf'!$B$5:$B$35</c:f>
              <c:numCache>
                <c:formatCode>General</c:formatCode>
                <c:ptCount val="25"/>
                <c:pt idx="0">
                  <c:v>4.4082142911962157</c:v>
                </c:pt>
                <c:pt idx="1">
                  <c:v>4.5379184037345617</c:v>
                </c:pt>
                <c:pt idx="2">
                  <c:v>4.588758450370765</c:v>
                </c:pt>
                <c:pt idx="3">
                  <c:v>4.6041402777489058</c:v>
                </c:pt>
                <c:pt idx="4">
                  <c:v>4.6101760951729176</c:v>
                </c:pt>
                <c:pt idx="5">
                  <c:v>6.8680375269570471</c:v>
                </c:pt>
                <c:pt idx="6">
                  <c:v>6.8626643608114408</c:v>
                </c:pt>
                <c:pt idx="7">
                  <c:v>6.8495965587626886</c:v>
                </c:pt>
                <c:pt idx="8">
                  <c:v>6.8308810470374475</c:v>
                </c:pt>
                <c:pt idx="9">
                  <c:v>6.7971723762914626</c:v>
                </c:pt>
                <c:pt idx="10">
                  <c:v>1.1272894100901956</c:v>
                </c:pt>
                <c:pt idx="11">
                  <c:v>1.1257961638914511</c:v>
                </c:pt>
                <c:pt idx="12">
                  <c:v>1.1220773891232216</c:v>
                </c:pt>
                <c:pt idx="13">
                  <c:v>1.1166398954857215</c:v>
                </c:pt>
                <c:pt idx="14">
                  <c:v>1.1089979807664196</c:v>
                </c:pt>
                <c:pt idx="15">
                  <c:v>6.963044283067692</c:v>
                </c:pt>
                <c:pt idx="16">
                  <c:v>6.9717551818250136</c:v>
                </c:pt>
                <c:pt idx="17">
                  <c:v>6.9776586812386974</c:v>
                </c:pt>
                <c:pt idx="18">
                  <c:v>6.9774779571005112</c:v>
                </c:pt>
                <c:pt idx="19">
                  <c:v>6.9512841218378814</c:v>
                </c:pt>
                <c:pt idx="20">
                  <c:v>6.2898849862451849</c:v>
                </c:pt>
                <c:pt idx="21">
                  <c:v>6.2883041435390439</c:v>
                </c:pt>
                <c:pt idx="22">
                  <c:v>6.2749770756262491</c:v>
                </c:pt>
                <c:pt idx="23">
                  <c:v>6.2550014991987588</c:v>
                </c:pt>
                <c:pt idx="24">
                  <c:v>6.2214955183643674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7E7-4D3E-89BD-8E1630F96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4022528"/>
        <c:axId val="284022856"/>
      </c:barChart>
      <c:catAx>
        <c:axId val="284022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L2 Size [kB]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84022856"/>
        <c:crosses val="autoZero"/>
        <c:auto val="1"/>
        <c:lblAlgn val="ctr"/>
        <c:lblOffset val="100"/>
        <c:noMultiLvlLbl val="0"/>
      </c:catAx>
      <c:valAx>
        <c:axId val="284022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Energy Efficiency/Instructions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8402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600"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133350</xdr:colOff>
      <xdr:row>0</xdr:row>
      <xdr:rowOff>52386</xdr:rowOff>
    </xdr:from>
    <xdr:to>
      <xdr:col>17</xdr:col>
      <xdr:colOff>161925</xdr:colOff>
      <xdr:row>22</xdr:row>
      <xdr:rowOff>19049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71C1EA1-BC75-44DB-849D-3604C16267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133350</xdr:colOff>
      <xdr:row>0</xdr:row>
      <xdr:rowOff>52386</xdr:rowOff>
    </xdr:from>
    <xdr:to>
      <xdr:col>17</xdr:col>
      <xdr:colOff>161925</xdr:colOff>
      <xdr:row>22</xdr:row>
      <xdr:rowOff>19049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C8CB2D7-5BAD-4E0B-B56A-FA830A307C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133350</xdr:colOff>
      <xdr:row>0</xdr:row>
      <xdr:rowOff>52386</xdr:rowOff>
    </xdr:from>
    <xdr:to>
      <xdr:col>17</xdr:col>
      <xdr:colOff>161925</xdr:colOff>
      <xdr:row>22</xdr:row>
      <xdr:rowOff>19049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9E8233D-05B5-49A4-A8ED-E9D21CF25B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133350</xdr:colOff>
      <xdr:row>0</xdr:row>
      <xdr:rowOff>52386</xdr:rowOff>
    </xdr:from>
    <xdr:to>
      <xdr:col>17</xdr:col>
      <xdr:colOff>161925</xdr:colOff>
      <xdr:row>22</xdr:row>
      <xdr:rowOff>19049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606EE56A-43D5-4960-BC1F-146969ABAD4E}"/>
            </a:ext>
          </a:extLst>
        </xdr:cNvPr>
        <xdr:cNvGrpSpPr/>
      </xdr:nvGrpSpPr>
      <xdr:grpSpPr>
        <a:xfrm>
          <a:off x="7524750" y="52386"/>
          <a:ext cx="7743825" cy="4157663"/>
          <a:chOff x="7524750" y="52386"/>
          <a:chExt cx="7743825" cy="4157663"/>
        </a:xfrm>
      </xdr:grpSpPr>
      <xdr:graphicFrame macro="">
        <xdr:nvGraphicFramePr>
          <xdr:cNvPr id="2" name="Chart 1">
            <a:extLst>
              <a:ext uri="{FF2B5EF4-FFF2-40B4-BE49-F238E27FC236}">
                <a16:creationId xmlns:a16="http://schemas.microsoft.com/office/drawing/2014/main" id="{C80271DB-E231-4515-8572-FBCF7A6A6A89}"/>
              </a:ext>
            </a:extLst>
          </xdr:cNvPr>
          <xdr:cNvGraphicFramePr>
            <a:graphicFrameLocks/>
          </xdr:cNvGraphicFramePr>
        </xdr:nvGraphicFramePr>
        <xdr:xfrm>
          <a:off x="7524750" y="52386"/>
          <a:ext cx="7743825" cy="41576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42C4B985-A8B5-46D1-AEFC-91BD91CC01D5}"/>
              </a:ext>
            </a:extLst>
          </xdr:cNvPr>
          <xdr:cNvSpPr txBox="1"/>
        </xdr:nvSpPr>
        <xdr:spPr>
          <a:xfrm>
            <a:off x="10010776" y="533400"/>
            <a:ext cx="685800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x 0.0005</a:t>
            </a:r>
            <a:endParaRPr lang="el-GR" sz="1100"/>
          </a:p>
        </xdr:txBody>
      </xdr:sp>
      <xdr:cxnSp macro="">
        <xdr:nvCxnSpPr>
          <xdr:cNvPr id="6" name="Straight Connector 5">
            <a:extLst>
              <a:ext uri="{FF2B5EF4-FFF2-40B4-BE49-F238E27FC236}">
                <a16:creationId xmlns:a16="http://schemas.microsoft.com/office/drawing/2014/main" id="{590BAEF6-7BCD-4B3B-BA6D-45E30800A3DC}"/>
              </a:ext>
            </a:extLst>
          </xdr:cNvPr>
          <xdr:cNvCxnSpPr>
            <a:stCxn id="4" idx="3"/>
          </xdr:cNvCxnSpPr>
        </xdr:nvCxnSpPr>
        <xdr:spPr>
          <a:xfrm>
            <a:off x="10696576" y="652463"/>
            <a:ext cx="104774" cy="461962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325BDAB1-E435-40EB-8DB5-4EEA4569EA8D}"/>
              </a:ext>
            </a:extLst>
          </xdr:cNvPr>
          <xdr:cNvCxnSpPr>
            <a:stCxn id="4" idx="1"/>
          </xdr:cNvCxnSpPr>
        </xdr:nvCxnSpPr>
        <xdr:spPr>
          <a:xfrm flipH="1">
            <a:off x="9944100" y="652463"/>
            <a:ext cx="66676" cy="652462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" name="Straight Connector 7">
            <a:extLst>
              <a:ext uri="{FF2B5EF4-FFF2-40B4-BE49-F238E27FC236}">
                <a16:creationId xmlns:a16="http://schemas.microsoft.com/office/drawing/2014/main" id="{872BC305-2582-452C-AFE7-A804305359C7}"/>
              </a:ext>
            </a:extLst>
          </xdr:cNvPr>
          <xdr:cNvCxnSpPr>
            <a:stCxn id="4" idx="2"/>
          </xdr:cNvCxnSpPr>
        </xdr:nvCxnSpPr>
        <xdr:spPr>
          <a:xfrm>
            <a:off x="10353676" y="771525"/>
            <a:ext cx="57149" cy="45720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352425</xdr:colOff>
      <xdr:row>1</xdr:row>
      <xdr:rowOff>33336</xdr:rowOff>
    </xdr:from>
    <xdr:to>
      <xdr:col>24</xdr:col>
      <xdr:colOff>266700</xdr:colOff>
      <xdr:row>22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5F5DAFB-6E13-4ABE-B3DC-69009A3173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0.02267</cdr:x>
      <cdr:y>0.86445</cdr:y>
    </cdr:from>
    <cdr:to>
      <cdr:x>0.24033</cdr:x>
      <cdr:y>0.95838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E765ED8-9E72-466B-9418-75BDDD7F30AD}"/>
            </a:ext>
          </a:extLst>
        </cdr:cNvPr>
        <cdr:cNvSpPr txBox="1"/>
      </cdr:nvSpPr>
      <cdr:spPr>
        <a:xfrm xmlns:a="http://schemas.openxmlformats.org/drawingml/2006/main">
          <a:off x="184150" y="3594100"/>
          <a:ext cx="1768514" cy="3905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L1 Instr.Size [kB]</a:t>
          </a:r>
          <a:endParaRPr lang="el-GR" sz="1100"/>
        </a:p>
      </cdr:txBody>
    </cdr:sp>
  </cdr:relSizeAnchor>
  <cdr:relSizeAnchor xmlns:cdr="http://schemas.openxmlformats.org/drawingml/2006/chartDrawing">
    <cdr:from>
      <cdr:x>0.4705</cdr:x>
      <cdr:y>0.00764</cdr:y>
    </cdr:from>
    <cdr:to>
      <cdr:x>0.61899</cdr:x>
      <cdr:y>0.09278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6603E2EA-56F4-40BE-861B-5403764E6A15}"/>
            </a:ext>
          </a:extLst>
        </cdr:cNvPr>
        <cdr:cNvSpPr txBox="1"/>
      </cdr:nvSpPr>
      <cdr:spPr>
        <a:xfrm xmlns:a="http://schemas.openxmlformats.org/drawingml/2006/main">
          <a:off x="3822700" y="31750"/>
          <a:ext cx="1206500" cy="3540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L1 Data Size [kB]</a:t>
          </a:r>
          <a:endParaRPr lang="el-GR" sz="1100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323850</xdr:colOff>
      <xdr:row>1</xdr:row>
      <xdr:rowOff>138111</xdr:rowOff>
    </xdr:from>
    <xdr:to>
      <xdr:col>24</xdr:col>
      <xdr:colOff>238125</xdr:colOff>
      <xdr:row>23</xdr:row>
      <xdr:rowOff>104774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A3E032E-657A-4781-8076-93596743E3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0.0297</cdr:x>
      <cdr:y>0.87362</cdr:y>
    </cdr:from>
    <cdr:to>
      <cdr:x>0.24737</cdr:x>
      <cdr:y>0.96755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E765ED8-9E72-466B-9418-75BDDD7F30AD}"/>
            </a:ext>
          </a:extLst>
        </cdr:cNvPr>
        <cdr:cNvSpPr txBox="1"/>
      </cdr:nvSpPr>
      <cdr:spPr>
        <a:xfrm xmlns:a="http://schemas.openxmlformats.org/drawingml/2006/main">
          <a:off x="241275" y="3632209"/>
          <a:ext cx="1768530" cy="39053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L1 Instr.Size [kB]</a:t>
          </a:r>
          <a:endParaRPr lang="el-GR" sz="1100"/>
        </a:p>
      </cdr:txBody>
    </cdr:sp>
  </cdr:relSizeAnchor>
  <cdr:relSizeAnchor xmlns:cdr="http://schemas.openxmlformats.org/drawingml/2006/chartDrawing">
    <cdr:from>
      <cdr:x>0.29582</cdr:x>
      <cdr:y>0</cdr:y>
    </cdr:from>
    <cdr:to>
      <cdr:x>0.44431</cdr:x>
      <cdr:y>0.04926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6603E2EA-56F4-40BE-861B-5403764E6A15}"/>
            </a:ext>
          </a:extLst>
        </cdr:cNvPr>
        <cdr:cNvSpPr txBox="1"/>
      </cdr:nvSpPr>
      <cdr:spPr>
        <a:xfrm xmlns:a="http://schemas.openxmlformats.org/drawingml/2006/main">
          <a:off x="2403505" y="0"/>
          <a:ext cx="1206455" cy="20478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L1 Data Size [kB]</a:t>
          </a:r>
          <a:endParaRPr lang="el-GR" sz="11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304800</xdr:colOff>
      <xdr:row>2</xdr:row>
      <xdr:rowOff>109536</xdr:rowOff>
    </xdr:from>
    <xdr:to>
      <xdr:col>24</xdr:col>
      <xdr:colOff>219075</xdr:colOff>
      <xdr:row>24</xdr:row>
      <xdr:rowOff>76199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DCEC743-4961-4020-B1F6-80E81FDF47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0.02618</cdr:x>
      <cdr:y>0.87133</cdr:y>
    </cdr:from>
    <cdr:to>
      <cdr:x>0.24385</cdr:x>
      <cdr:y>0.96526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E765ED8-9E72-466B-9418-75BDDD7F30AD}"/>
            </a:ext>
          </a:extLst>
        </cdr:cNvPr>
        <cdr:cNvSpPr txBox="1"/>
      </cdr:nvSpPr>
      <cdr:spPr>
        <a:xfrm xmlns:a="http://schemas.openxmlformats.org/drawingml/2006/main">
          <a:off x="212700" y="3622684"/>
          <a:ext cx="1768530" cy="39053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L1 Instr.Size [kB]</a:t>
          </a:r>
          <a:endParaRPr lang="el-GR" sz="1100"/>
        </a:p>
      </cdr:txBody>
    </cdr:sp>
  </cdr:relSizeAnchor>
  <cdr:relSizeAnchor xmlns:cdr="http://schemas.openxmlformats.org/drawingml/2006/chartDrawing">
    <cdr:from>
      <cdr:x>0.44822</cdr:x>
      <cdr:y>0.01145</cdr:y>
    </cdr:from>
    <cdr:to>
      <cdr:x>0.59671</cdr:x>
      <cdr:y>0.06071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6603E2EA-56F4-40BE-861B-5403764E6A15}"/>
            </a:ext>
          </a:extLst>
        </cdr:cNvPr>
        <cdr:cNvSpPr txBox="1"/>
      </cdr:nvSpPr>
      <cdr:spPr>
        <a:xfrm xmlns:a="http://schemas.openxmlformats.org/drawingml/2006/main">
          <a:off x="3641736" y="47625"/>
          <a:ext cx="1206455" cy="2048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L1 Data Size [kB]</a:t>
          </a:r>
          <a:endParaRPr lang="el-GR" sz="1100"/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133350</xdr:colOff>
      <xdr:row>0</xdr:row>
      <xdr:rowOff>52386</xdr:rowOff>
    </xdr:from>
    <xdr:to>
      <xdr:col>17</xdr:col>
      <xdr:colOff>161925</xdr:colOff>
      <xdr:row>22</xdr:row>
      <xdr:rowOff>19049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0CE2CD3-E0D7-4519-A62A-15380FAE37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133350</xdr:colOff>
      <xdr:row>0</xdr:row>
      <xdr:rowOff>52386</xdr:rowOff>
    </xdr:from>
    <xdr:to>
      <xdr:col>17</xdr:col>
      <xdr:colOff>161925</xdr:colOff>
      <xdr:row>22</xdr:row>
      <xdr:rowOff>19049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50A7834-9C2F-40A5-8383-AD54A04F60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133350</xdr:colOff>
      <xdr:row>0</xdr:row>
      <xdr:rowOff>52386</xdr:rowOff>
    </xdr:from>
    <xdr:to>
      <xdr:col>17</xdr:col>
      <xdr:colOff>161925</xdr:colOff>
      <xdr:row>22</xdr:row>
      <xdr:rowOff>19049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E36D6F3-C778-4417-89C5-404BEB44AE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571501</xdr:colOff>
      <xdr:row>0</xdr:row>
      <xdr:rowOff>171450</xdr:rowOff>
    </xdr:from>
    <xdr:to>
      <xdr:col>11</xdr:col>
      <xdr:colOff>9526</xdr:colOff>
      <xdr:row>2</xdr:row>
      <xdr:rowOff>28575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02BF5EB-6A0F-48DD-A80C-38AB62E64F2D}"/>
            </a:ext>
          </a:extLst>
        </xdr:cNvPr>
        <xdr:cNvSpPr txBox="1"/>
      </xdr:nvSpPr>
      <xdr:spPr>
        <a:xfrm>
          <a:off x="9925051" y="171450"/>
          <a:ext cx="6858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x 0.0005</a:t>
          </a:r>
          <a:endParaRPr lang="el-GR" sz="1100"/>
        </a:p>
      </xdr:txBody>
    </xdr:sp>
    <xdr:clientData/>
  </xdr:twoCellAnchor>
  <xdr:twoCellAnchor>
    <xdr:from>
      <xdr:col>11</xdr:col>
      <xdr:colOff>9526</xdr:colOff>
      <xdr:row>1</xdr:row>
      <xdr:rowOff>100013</xdr:rowOff>
    </xdr:from>
    <xdr:to>
      <xdr:col>11</xdr:col>
      <xdr:colOff>114300</xdr:colOff>
      <xdr:row>3</xdr:row>
      <xdr:rowOff>180975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26D4CB4D-36C8-45E9-B1C0-32FE84865358}"/>
            </a:ext>
          </a:extLst>
        </xdr:cNvPr>
        <xdr:cNvCxnSpPr>
          <a:stCxn id="3" idx="3"/>
        </xdr:cNvCxnSpPr>
      </xdr:nvCxnSpPr>
      <xdr:spPr>
        <a:xfrm>
          <a:off x="10610851" y="290513"/>
          <a:ext cx="104774" cy="46196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504825</xdr:colOff>
      <xdr:row>1</xdr:row>
      <xdr:rowOff>100013</xdr:rowOff>
    </xdr:from>
    <xdr:to>
      <xdr:col>9</xdr:col>
      <xdr:colOff>571501</xdr:colOff>
      <xdr:row>4</xdr:row>
      <xdr:rowOff>180975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ACE9AFEC-FA54-475B-BECB-9A117589796B}"/>
            </a:ext>
          </a:extLst>
        </xdr:cNvPr>
        <xdr:cNvCxnSpPr>
          <a:stCxn id="3" idx="1"/>
        </xdr:cNvCxnSpPr>
      </xdr:nvCxnSpPr>
      <xdr:spPr>
        <a:xfrm flipH="1">
          <a:off x="9858375" y="290513"/>
          <a:ext cx="66676" cy="65246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314326</xdr:colOff>
      <xdr:row>2</xdr:row>
      <xdr:rowOff>28575</xdr:rowOff>
    </xdr:from>
    <xdr:to>
      <xdr:col>10</xdr:col>
      <xdr:colOff>371475</xdr:colOff>
      <xdr:row>4</xdr:row>
      <xdr:rowOff>104775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7F7A35D5-BB99-4860-A7E8-84A85AFDEC9E}"/>
            </a:ext>
          </a:extLst>
        </xdr:cNvPr>
        <xdr:cNvCxnSpPr>
          <a:stCxn id="3" idx="2"/>
        </xdr:cNvCxnSpPr>
      </xdr:nvCxnSpPr>
      <xdr:spPr>
        <a:xfrm>
          <a:off x="10267951" y="409575"/>
          <a:ext cx="57149" cy="4572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133350</xdr:colOff>
      <xdr:row>0</xdr:row>
      <xdr:rowOff>52386</xdr:rowOff>
    </xdr:from>
    <xdr:to>
      <xdr:col>17</xdr:col>
      <xdr:colOff>161925</xdr:colOff>
      <xdr:row>22</xdr:row>
      <xdr:rowOff>19049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3F41749-11FB-4429-98C4-4B2572FCAA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133350</xdr:colOff>
      <xdr:row>0</xdr:row>
      <xdr:rowOff>52386</xdr:rowOff>
    </xdr:from>
    <xdr:to>
      <xdr:col>17</xdr:col>
      <xdr:colOff>161925</xdr:colOff>
      <xdr:row>22</xdr:row>
      <xdr:rowOff>19049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15EEA77-B8C8-43D9-B6AE-36DCA66FB8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133350</xdr:colOff>
      <xdr:row>0</xdr:row>
      <xdr:rowOff>52386</xdr:rowOff>
    </xdr:from>
    <xdr:to>
      <xdr:col>17</xdr:col>
      <xdr:colOff>161925</xdr:colOff>
      <xdr:row>22</xdr:row>
      <xdr:rowOff>19049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5FB198C-ADEB-4F9E-A7F4-450531AE31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571501</xdr:colOff>
      <xdr:row>0</xdr:row>
      <xdr:rowOff>171450</xdr:rowOff>
    </xdr:from>
    <xdr:to>
      <xdr:col>11</xdr:col>
      <xdr:colOff>9526</xdr:colOff>
      <xdr:row>2</xdr:row>
      <xdr:rowOff>28575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9E8BEDCB-B5C7-417F-B625-533EC821C55A}"/>
            </a:ext>
          </a:extLst>
        </xdr:cNvPr>
        <xdr:cNvSpPr txBox="1"/>
      </xdr:nvSpPr>
      <xdr:spPr>
        <a:xfrm>
          <a:off x="9925051" y="171450"/>
          <a:ext cx="6858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x 0.0005</a:t>
          </a:r>
          <a:endParaRPr lang="el-GR" sz="1100"/>
        </a:p>
      </xdr:txBody>
    </xdr:sp>
    <xdr:clientData/>
  </xdr:twoCellAnchor>
  <xdr:twoCellAnchor>
    <xdr:from>
      <xdr:col>11</xdr:col>
      <xdr:colOff>9526</xdr:colOff>
      <xdr:row>1</xdr:row>
      <xdr:rowOff>100013</xdr:rowOff>
    </xdr:from>
    <xdr:to>
      <xdr:col>11</xdr:col>
      <xdr:colOff>114300</xdr:colOff>
      <xdr:row>3</xdr:row>
      <xdr:rowOff>180975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7EEA05A9-7E08-4F70-B328-92C6CF46235C}"/>
            </a:ext>
          </a:extLst>
        </xdr:cNvPr>
        <xdr:cNvCxnSpPr>
          <a:stCxn id="3" idx="3"/>
        </xdr:cNvCxnSpPr>
      </xdr:nvCxnSpPr>
      <xdr:spPr>
        <a:xfrm>
          <a:off x="10610851" y="290513"/>
          <a:ext cx="104774" cy="46196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504825</xdr:colOff>
      <xdr:row>1</xdr:row>
      <xdr:rowOff>100013</xdr:rowOff>
    </xdr:from>
    <xdr:to>
      <xdr:col>9</xdr:col>
      <xdr:colOff>571501</xdr:colOff>
      <xdr:row>4</xdr:row>
      <xdr:rowOff>180975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5A8F01BF-2F55-467D-9645-77B68578F8F9}"/>
            </a:ext>
          </a:extLst>
        </xdr:cNvPr>
        <xdr:cNvCxnSpPr>
          <a:stCxn id="3" idx="1"/>
        </xdr:cNvCxnSpPr>
      </xdr:nvCxnSpPr>
      <xdr:spPr>
        <a:xfrm flipH="1">
          <a:off x="9858375" y="290513"/>
          <a:ext cx="66676" cy="65246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314326</xdr:colOff>
      <xdr:row>2</xdr:row>
      <xdr:rowOff>28575</xdr:rowOff>
    </xdr:from>
    <xdr:to>
      <xdr:col>10</xdr:col>
      <xdr:colOff>371475</xdr:colOff>
      <xdr:row>4</xdr:row>
      <xdr:rowOff>104775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770D63B8-EEC8-4940-9E0F-ACCDB5542849}"/>
            </a:ext>
          </a:extLst>
        </xdr:cNvPr>
        <xdr:cNvCxnSpPr>
          <a:stCxn id="3" idx="2"/>
        </xdr:cNvCxnSpPr>
      </xdr:nvCxnSpPr>
      <xdr:spPr>
        <a:xfrm>
          <a:off x="10267951" y="409575"/>
          <a:ext cx="57149" cy="4572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133350</xdr:colOff>
      <xdr:row>0</xdr:row>
      <xdr:rowOff>52386</xdr:rowOff>
    </xdr:from>
    <xdr:to>
      <xdr:col>17</xdr:col>
      <xdr:colOff>161925</xdr:colOff>
      <xdr:row>22</xdr:row>
      <xdr:rowOff>19049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EC5716D-D944-40DB-8B68-425F80B1D2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133350</xdr:colOff>
      <xdr:row>0</xdr:row>
      <xdr:rowOff>52386</xdr:rowOff>
    </xdr:from>
    <xdr:to>
      <xdr:col>17</xdr:col>
      <xdr:colOff>161925</xdr:colOff>
      <xdr:row>22</xdr:row>
      <xdr:rowOff>19049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8B7CDD0-DB5D-4C53-93C2-01A32F57BB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133350</xdr:colOff>
      <xdr:row>0</xdr:row>
      <xdr:rowOff>52386</xdr:rowOff>
    </xdr:from>
    <xdr:to>
      <xdr:col>17</xdr:col>
      <xdr:colOff>161925</xdr:colOff>
      <xdr:row>22</xdr:row>
      <xdr:rowOff>19049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D9FC257-B780-4B90-9696-12F75D9DA7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571501</xdr:colOff>
      <xdr:row>0</xdr:row>
      <xdr:rowOff>171450</xdr:rowOff>
    </xdr:from>
    <xdr:to>
      <xdr:col>11</xdr:col>
      <xdr:colOff>9526</xdr:colOff>
      <xdr:row>2</xdr:row>
      <xdr:rowOff>28575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EF66B75F-15B6-4DEB-97CA-19E83CC0F2E9}"/>
            </a:ext>
          </a:extLst>
        </xdr:cNvPr>
        <xdr:cNvSpPr txBox="1"/>
      </xdr:nvSpPr>
      <xdr:spPr>
        <a:xfrm>
          <a:off x="9925051" y="171450"/>
          <a:ext cx="6858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x 0.0005</a:t>
          </a:r>
          <a:endParaRPr lang="el-GR" sz="1100"/>
        </a:p>
      </xdr:txBody>
    </xdr:sp>
    <xdr:clientData/>
  </xdr:twoCellAnchor>
  <xdr:twoCellAnchor>
    <xdr:from>
      <xdr:col>11</xdr:col>
      <xdr:colOff>9526</xdr:colOff>
      <xdr:row>1</xdr:row>
      <xdr:rowOff>100013</xdr:rowOff>
    </xdr:from>
    <xdr:to>
      <xdr:col>11</xdr:col>
      <xdr:colOff>114300</xdr:colOff>
      <xdr:row>3</xdr:row>
      <xdr:rowOff>180975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5EDEB724-8640-4C7E-9073-D182CE2BEF41}"/>
            </a:ext>
          </a:extLst>
        </xdr:cNvPr>
        <xdr:cNvCxnSpPr>
          <a:stCxn id="3" idx="3"/>
        </xdr:cNvCxnSpPr>
      </xdr:nvCxnSpPr>
      <xdr:spPr>
        <a:xfrm>
          <a:off x="10610851" y="290513"/>
          <a:ext cx="104774" cy="46196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504825</xdr:colOff>
      <xdr:row>1</xdr:row>
      <xdr:rowOff>100013</xdr:rowOff>
    </xdr:from>
    <xdr:to>
      <xdr:col>9</xdr:col>
      <xdr:colOff>571501</xdr:colOff>
      <xdr:row>4</xdr:row>
      <xdr:rowOff>180975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980D7051-B41C-462C-AAED-DDFB3CA2D5D6}"/>
            </a:ext>
          </a:extLst>
        </xdr:cNvPr>
        <xdr:cNvCxnSpPr>
          <a:stCxn id="3" idx="1"/>
        </xdr:cNvCxnSpPr>
      </xdr:nvCxnSpPr>
      <xdr:spPr>
        <a:xfrm flipH="1">
          <a:off x="9858375" y="290513"/>
          <a:ext cx="66676" cy="65246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314326</xdr:colOff>
      <xdr:row>2</xdr:row>
      <xdr:rowOff>28575</xdr:rowOff>
    </xdr:from>
    <xdr:to>
      <xdr:col>10</xdr:col>
      <xdr:colOff>371475</xdr:colOff>
      <xdr:row>4</xdr:row>
      <xdr:rowOff>104775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A44FBB02-2F17-419B-809D-BB5E64DF8026}"/>
            </a:ext>
          </a:extLst>
        </xdr:cNvPr>
        <xdr:cNvCxnSpPr>
          <a:stCxn id="3" idx="2"/>
        </xdr:cNvCxnSpPr>
      </xdr:nvCxnSpPr>
      <xdr:spPr>
        <a:xfrm>
          <a:off x="10267951" y="409575"/>
          <a:ext cx="57149" cy="4572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133350</xdr:colOff>
      <xdr:row>0</xdr:row>
      <xdr:rowOff>52386</xdr:rowOff>
    </xdr:from>
    <xdr:to>
      <xdr:col>17</xdr:col>
      <xdr:colOff>161925</xdr:colOff>
      <xdr:row>22</xdr:row>
      <xdr:rowOff>19049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7C123CE-DD34-4C86-B957-62CBD12D0C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133350</xdr:colOff>
      <xdr:row>0</xdr:row>
      <xdr:rowOff>52386</xdr:rowOff>
    </xdr:from>
    <xdr:to>
      <xdr:col>17</xdr:col>
      <xdr:colOff>161925</xdr:colOff>
      <xdr:row>22</xdr:row>
      <xdr:rowOff>19049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E6B9481-FD9D-4E71-AE21-DA28AEE0BE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133350</xdr:colOff>
      <xdr:row>0</xdr:row>
      <xdr:rowOff>52386</xdr:rowOff>
    </xdr:from>
    <xdr:to>
      <xdr:col>17</xdr:col>
      <xdr:colOff>161925</xdr:colOff>
      <xdr:row>22</xdr:row>
      <xdr:rowOff>19049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13A7B24-3BB6-438A-869B-1F13A93EBD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571501</xdr:colOff>
      <xdr:row>0</xdr:row>
      <xdr:rowOff>171450</xdr:rowOff>
    </xdr:from>
    <xdr:to>
      <xdr:col>11</xdr:col>
      <xdr:colOff>9526</xdr:colOff>
      <xdr:row>2</xdr:row>
      <xdr:rowOff>28575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96A4FE1B-358B-4000-8F02-D944045A8C72}"/>
            </a:ext>
          </a:extLst>
        </xdr:cNvPr>
        <xdr:cNvSpPr txBox="1"/>
      </xdr:nvSpPr>
      <xdr:spPr>
        <a:xfrm>
          <a:off x="9925051" y="171450"/>
          <a:ext cx="6858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x 0.0005</a:t>
          </a:r>
          <a:endParaRPr lang="el-GR" sz="1100"/>
        </a:p>
      </xdr:txBody>
    </xdr:sp>
    <xdr:clientData/>
  </xdr:twoCellAnchor>
  <xdr:twoCellAnchor>
    <xdr:from>
      <xdr:col>11</xdr:col>
      <xdr:colOff>9526</xdr:colOff>
      <xdr:row>1</xdr:row>
      <xdr:rowOff>100013</xdr:rowOff>
    </xdr:from>
    <xdr:to>
      <xdr:col>11</xdr:col>
      <xdr:colOff>114300</xdr:colOff>
      <xdr:row>3</xdr:row>
      <xdr:rowOff>180975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EE972A9C-6253-4BFD-AB55-D34F492E48E1}"/>
            </a:ext>
          </a:extLst>
        </xdr:cNvPr>
        <xdr:cNvCxnSpPr>
          <a:stCxn id="3" idx="3"/>
        </xdr:cNvCxnSpPr>
      </xdr:nvCxnSpPr>
      <xdr:spPr>
        <a:xfrm>
          <a:off x="10610851" y="290513"/>
          <a:ext cx="104774" cy="46196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504825</xdr:colOff>
      <xdr:row>1</xdr:row>
      <xdr:rowOff>100013</xdr:rowOff>
    </xdr:from>
    <xdr:to>
      <xdr:col>9</xdr:col>
      <xdr:colOff>571501</xdr:colOff>
      <xdr:row>4</xdr:row>
      <xdr:rowOff>180975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7A7FF13F-7BFF-43D3-867F-7ACC4FADD312}"/>
            </a:ext>
          </a:extLst>
        </xdr:cNvPr>
        <xdr:cNvCxnSpPr>
          <a:stCxn id="3" idx="1"/>
        </xdr:cNvCxnSpPr>
      </xdr:nvCxnSpPr>
      <xdr:spPr>
        <a:xfrm flipH="1">
          <a:off x="9858375" y="290513"/>
          <a:ext cx="66676" cy="65246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314326</xdr:colOff>
      <xdr:row>2</xdr:row>
      <xdr:rowOff>28575</xdr:rowOff>
    </xdr:from>
    <xdr:to>
      <xdr:col>10</xdr:col>
      <xdr:colOff>371475</xdr:colOff>
      <xdr:row>4</xdr:row>
      <xdr:rowOff>104775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3F32D682-1C00-4D3D-A827-AAA3F3E8AB48}"/>
            </a:ext>
          </a:extLst>
        </xdr:cNvPr>
        <xdr:cNvCxnSpPr>
          <a:stCxn id="3" idx="2"/>
        </xdr:cNvCxnSpPr>
      </xdr:nvCxnSpPr>
      <xdr:spPr>
        <a:xfrm>
          <a:off x="10267951" y="409575"/>
          <a:ext cx="57149" cy="4572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D" refreshedDate="43829.087395717594" createdVersion="6" refreshedVersion="6" minRefreshableVersion="3" recordCount="170" xr:uid="{E6E9E53B-4787-4B70-BE7E-525AE2C7C5BE}">
  <cacheSource type="worksheet">
    <worksheetSource ref="A1:S171" sheet="data2"/>
  </cacheSource>
  <cacheFields count="19">
    <cacheField name="Benchmarks" numFmtId="0">
      <sharedItems/>
    </cacheField>
    <cacheField name="Total Leakage Power [W]" numFmtId="0">
      <sharedItems containsSemiMixedTypes="0" containsString="0" containsNumber="1" minValue="0.72901800000000005" maxValue="2.1138300000000001"/>
    </cacheField>
    <cacheField name="Runtime Dynamic [W]" numFmtId="0">
      <sharedItems containsSemiMixedTypes="0" containsString="0" containsNumber="1" minValue="7.4321999999999999E-2" maxValue="0.50487800000000005"/>
    </cacheField>
    <cacheField name="Runtime [sec]" numFmtId="0">
      <sharedItems containsSemiMixedTypes="0" containsString="0" containsNumber="1" minValue="5.0000000000000002E-5" maxValue="1.1660410000000001"/>
    </cacheField>
    <cacheField name="Energy [mJ]" numFmtId="0">
      <sharedItems containsSemiMixedTypes="0" containsString="0" containsNumber="1" minValue="4.9648999999999999E-2" maxValue="1668.506081"/>
    </cacheField>
    <cacheField name="Benchmark" numFmtId="0">
      <sharedItems count="5">
        <s v="specbzip"/>
        <s v="spechmmer"/>
        <s v="speclibm"/>
        <s v="specmcf"/>
        <s v="specsjeng"/>
      </sharedItems>
    </cacheField>
    <cacheField name="Scenario" numFmtId="0">
      <sharedItems count="7">
        <s v="L2 Size"/>
        <s v="L2D Associativity"/>
        <s v="L1I Associativity"/>
        <s v="L1D/L1I Size"/>
        <s v="CPU Frequency"/>
        <s v="L1D Associativity"/>
        <s v="Cache Line"/>
      </sharedItems>
    </cacheField>
    <cacheField name="Cache line" numFmtId="0">
      <sharedItems containsSemiMixedTypes="0" containsString="0" containsNumber="1" containsInteger="1" minValue="32" maxValue="128" count="3">
        <n v="64"/>
        <n v="128"/>
        <n v="32"/>
      </sharedItems>
    </cacheField>
    <cacheField name="Frequency [GHz]" numFmtId="0">
      <sharedItems containsSemiMixedTypes="0" containsString="0" containsNumber="1" containsInteger="1" minValue="1" maxValue="1"/>
    </cacheField>
    <cacheField name="L1 Data Size [kB]" numFmtId="0">
      <sharedItems containsSemiMixedTypes="0" containsString="0" containsNumber="1" containsInteger="1" minValue="16" maxValue="128" count="4">
        <n v="32"/>
        <n v="64"/>
        <n v="16"/>
        <n v="128"/>
      </sharedItems>
    </cacheField>
    <cacheField name="L1 Instr Size [kB]" numFmtId="0">
      <sharedItems containsSemiMixedTypes="0" containsString="0" containsNumber="1" containsInteger="1" minValue="16" maxValue="128" count="4">
        <n v="32"/>
        <n v="128"/>
        <n v="64"/>
        <n v="16"/>
      </sharedItems>
    </cacheField>
    <cacheField name="L1 Data Assoc" numFmtId="0">
      <sharedItems containsSemiMixedTypes="0" containsString="0" containsNumber="1" containsInteger="1" minValue="1" maxValue="4" count="3">
        <n v="1"/>
        <n v="2"/>
        <n v="4"/>
      </sharedItems>
    </cacheField>
    <cacheField name="L1 Instr Assoc" numFmtId="0">
      <sharedItems containsSemiMixedTypes="0" containsString="0" containsNumber="1" containsInteger="1" minValue="1" maxValue="4" count="3">
        <n v="1"/>
        <n v="2"/>
        <n v="4"/>
      </sharedItems>
    </cacheField>
    <cacheField name="L2 Data Assoc" numFmtId="0">
      <sharedItems containsSemiMixedTypes="0" containsString="0" containsNumber="1" containsInteger="1" minValue="1" maxValue="4" count="3">
        <n v="2"/>
        <n v="4"/>
        <n v="1"/>
      </sharedItems>
    </cacheField>
    <cacheField name="L2 Size [kB]" numFmtId="0">
      <sharedItems containsSemiMixedTypes="0" containsString="0" containsNumber="1" containsInteger="1" minValue="256" maxValue="4096" count="5">
        <n v="256"/>
        <n v="512"/>
        <n v="2048"/>
        <n v="1024"/>
        <n v="4096"/>
      </sharedItems>
    </cacheField>
    <cacheField name="Energy Efficiency" numFmtId="0">
      <sharedItems containsSemiMixedTypes="0" containsString="0" containsNumber="1" minValue="0.5993385408584555" maxValue="10.070696287941349"/>
    </cacheField>
    <cacheField name="Total Power [W]" numFmtId="0">
      <sharedItems containsSemiMixedTypes="0" containsString="0" containsNumber="1" minValue="0.81391000000000002" maxValue="2.6187080000000003"/>
    </cacheField>
    <cacheField name="Area [mm²]" numFmtId="0">
      <sharedItems containsSemiMixedTypes="0" containsString="0" containsNumber="1" minValue="8.2387999999999995" maxValue="27.278600000000001"/>
    </cacheField>
    <cacheField name="Peak Power [W]" numFmtId="0">
      <sharedItems containsSemiMixedTypes="0" containsString="0" containsNumber="1" minValue="2.17171" maxValue="8.187099999999999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0">
  <r>
    <s v="./specbzip/l2_size.256kB"/>
    <n v="1.1464399999999999"/>
    <n v="0.12597800000000001"/>
    <n v="0.178282"/>
    <n v="226.84922599999999"/>
    <x v="0"/>
    <x v="0"/>
    <x v="0"/>
    <n v="1"/>
    <x v="0"/>
    <x v="0"/>
    <x v="0"/>
    <x v="0"/>
    <x v="0"/>
    <x v="0"/>
    <n v="4.4082142911962157"/>
    <n v="1.2724179999999998"/>
    <n v="10.182499999999999"/>
    <n v="3.7515200000000002"/>
  </r>
  <r>
    <s v="./specbzip/l2d_assoc.4"/>
    <n v="1.14703"/>
    <n v="0.12836600000000001"/>
    <n v="0.17261599999999999"/>
    <n v="220.15375599999999"/>
    <x v="0"/>
    <x v="1"/>
    <x v="0"/>
    <n v="1"/>
    <x v="0"/>
    <x v="0"/>
    <x v="0"/>
    <x v="0"/>
    <x v="1"/>
    <x v="1"/>
    <n v="4.5422799872649007"/>
    <n v="1.275396"/>
    <n v="10.7264"/>
    <n v="3.7822800000000001"/>
  </r>
  <r>
    <s v="./specbzip/l1i_assoc.2"/>
    <n v="1.14927"/>
    <n v="0.128418"/>
    <n v="0.17277000000000001"/>
    <n v="220.74615600000001"/>
    <x v="0"/>
    <x v="2"/>
    <x v="0"/>
    <n v="1"/>
    <x v="0"/>
    <x v="0"/>
    <x v="0"/>
    <x v="1"/>
    <x v="0"/>
    <x v="1"/>
    <n v="4.5300902091359632"/>
    <n v="1.2776879999999999"/>
    <n v="10.7638"/>
    <n v="3.7873899999999998"/>
  </r>
  <r>
    <s v="./specbzip/l1d.64kB_l1i.128kB"/>
    <n v="1.83192"/>
    <n v="0.34282499999999999"/>
    <n v="0.16936899999999999"/>
    <n v="368.33438599999999"/>
    <x v="0"/>
    <x v="3"/>
    <x v="0"/>
    <n v="1"/>
    <x v="1"/>
    <x v="1"/>
    <x v="0"/>
    <x v="0"/>
    <x v="0"/>
    <x v="1"/>
    <n v="2.714924367664115"/>
    <n v="2.1747450000000002"/>
    <n v="15.683999999999999"/>
    <n v="5.2115"/>
  </r>
  <r>
    <s v="./specbzip/l1d.16kB_l1i.32kB"/>
    <n v="0.73653299999999999"/>
    <n v="0.125972"/>
    <n v="0.17736099999999999"/>
    <n v="152.974749"/>
    <x v="0"/>
    <x v="3"/>
    <x v="0"/>
    <n v="1"/>
    <x v="2"/>
    <x v="0"/>
    <x v="0"/>
    <x v="0"/>
    <x v="0"/>
    <x v="1"/>
    <n v="6.53702657815768"/>
    <n v="0.86250499999999997"/>
    <n v="8.2864199999999997"/>
    <n v="2.7385999999999999"/>
  </r>
  <r>
    <s v="./specbzip/cpu_clock.1GHz"/>
    <n v="1.14703"/>
    <n v="0.128417"/>
    <n v="0.17277500000000001"/>
    <n v="220.36535499999999"/>
    <x v="0"/>
    <x v="4"/>
    <x v="0"/>
    <n v="1"/>
    <x v="0"/>
    <x v="0"/>
    <x v="0"/>
    <x v="0"/>
    <x v="0"/>
    <x v="1"/>
    <n v="4.5379184037345617"/>
    <n v="1.275447"/>
    <n v="10.7277"/>
    <n v="3.7820100000000001"/>
  </r>
  <r>
    <s v="./specbzip/l1d.32kB_l1i.64kB"/>
    <n v="1.14703"/>
    <n v="0.128417"/>
    <n v="0.17277500000000001"/>
    <n v="220.36535499999999"/>
    <x v="0"/>
    <x v="3"/>
    <x v="0"/>
    <n v="1"/>
    <x v="0"/>
    <x v="2"/>
    <x v="0"/>
    <x v="0"/>
    <x v="0"/>
    <x v="1"/>
    <n v="4.5379184037345617"/>
    <n v="1.275447"/>
    <n v="10.7277"/>
    <n v="3.7820100000000001"/>
  </r>
  <r>
    <s v="./specbzip/l2d_assoc.1"/>
    <n v="1.1470199999999999"/>
    <n v="0.12809899999999999"/>
    <n v="0.17450299999999999"/>
    <n v="222.512091"/>
    <x v="0"/>
    <x v="1"/>
    <x v="0"/>
    <n v="1"/>
    <x v="0"/>
    <x v="0"/>
    <x v="0"/>
    <x v="0"/>
    <x v="2"/>
    <x v="1"/>
    <n v="4.4941378039542128"/>
    <n v="1.2751189999999999"/>
    <n v="10.7286"/>
    <n v="3.7819699999999998"/>
  </r>
  <r>
    <s v="./specbzip/l1i_assoc.1"/>
    <n v="1.14703"/>
    <n v="0.128417"/>
    <n v="0.17277500000000001"/>
    <n v="220.36535499999999"/>
    <x v="0"/>
    <x v="2"/>
    <x v="0"/>
    <n v="1"/>
    <x v="0"/>
    <x v="0"/>
    <x v="0"/>
    <x v="0"/>
    <x v="0"/>
    <x v="1"/>
    <n v="4.5379184037345617"/>
    <n v="1.275447"/>
    <n v="10.7277"/>
    <n v="3.7820100000000001"/>
  </r>
  <r>
    <s v="./specbzip/l1d.32kB_l1i.32kB"/>
    <n v="0.74404700000000001"/>
    <n v="0.128413"/>
    <n v="0.17277699999999999"/>
    <n v="150.74102099999999"/>
    <x v="0"/>
    <x v="3"/>
    <x v="0"/>
    <n v="1"/>
    <x v="0"/>
    <x v="0"/>
    <x v="0"/>
    <x v="0"/>
    <x v="0"/>
    <x v="1"/>
    <n v="6.6338943000790751"/>
    <n v="0.87246000000000001"/>
    <n v="8.3388000000000009"/>
    <n v="2.7579199999999999"/>
  </r>
  <r>
    <s v="./specbzip/l1i_assoc.4"/>
    <n v="0.87417199999999995"/>
    <n v="0.128412"/>
    <n v="0.17277899999999999"/>
    <n v="173.225461"/>
    <x v="0"/>
    <x v="2"/>
    <x v="0"/>
    <n v="1"/>
    <x v="0"/>
    <x v="0"/>
    <x v="0"/>
    <x v="2"/>
    <x v="0"/>
    <x v="1"/>
    <n v="5.7728234303847517"/>
    <n v="1.0025839999999999"/>
    <n v="9.7305700000000002"/>
    <n v="3.4842"/>
  </r>
  <r>
    <s v="./specbzip/l1d.128kB_l1i.16kB"/>
    <n v="1.4214199999999999"/>
    <n v="0.43801600000000002"/>
    <n v="0.16573599999999999"/>
    <n v="308.17548499999998"/>
    <x v="0"/>
    <x v="3"/>
    <x v="0"/>
    <n v="1"/>
    <x v="3"/>
    <x v="3"/>
    <x v="0"/>
    <x v="0"/>
    <x v="0"/>
    <x v="1"/>
    <n v="3.2449044413769643"/>
    <n v="1.8594359999999999"/>
    <n v="13.480399999999999"/>
    <n v="4.1266699999999998"/>
  </r>
  <r>
    <s v="./specbzip/l1d_assoc.2"/>
    <n v="1.1473599999999999"/>
    <n v="0.13728399999999999"/>
    <n v="0.16883200000000001"/>
    <n v="216.889016"/>
    <x v="0"/>
    <x v="5"/>
    <x v="0"/>
    <n v="1"/>
    <x v="0"/>
    <x v="0"/>
    <x v="1"/>
    <x v="0"/>
    <x v="0"/>
    <x v="1"/>
    <n v="4.6106530355599018"/>
    <n v="1.2846439999999999"/>
    <n v="10.764200000000001"/>
    <n v="3.8013499999999998"/>
  </r>
  <r>
    <s v="./specbzip/l1d.128kB_l1i.128kB"/>
    <n v="2.1138300000000001"/>
    <n v="0.43807000000000001"/>
    <n v="0.16570799999999999"/>
    <n v="422.87024500000001"/>
    <x v="0"/>
    <x v="3"/>
    <x v="0"/>
    <n v="1"/>
    <x v="3"/>
    <x v="1"/>
    <x v="0"/>
    <x v="0"/>
    <x v="0"/>
    <x v="1"/>
    <n v="2.364791592276728"/>
    <n v="2.5519000000000003"/>
    <n v="18.2455"/>
    <n v="5.70181"/>
  </r>
  <r>
    <s v="./specbzip/l2_size.2MB"/>
    <n v="1.15062"/>
    <n v="0.138682"/>
    <n v="0.16846"/>
    <n v="217.19581500000001"/>
    <x v="0"/>
    <x v="0"/>
    <x v="0"/>
    <n v="1"/>
    <x v="0"/>
    <x v="0"/>
    <x v="0"/>
    <x v="0"/>
    <x v="0"/>
    <x v="2"/>
    <n v="4.6041402777489058"/>
    <n v="1.2893019999999999"/>
    <n v="16.329799999999999"/>
    <n v="3.9575200000000001"/>
  </r>
  <r>
    <s v="./specbzip/l1d_assoc.1"/>
    <n v="1.14703"/>
    <n v="0.128417"/>
    <n v="0.17277500000000001"/>
    <n v="220.36535499999999"/>
    <x v="0"/>
    <x v="5"/>
    <x v="0"/>
    <n v="1"/>
    <x v="0"/>
    <x v="0"/>
    <x v="0"/>
    <x v="0"/>
    <x v="0"/>
    <x v="1"/>
    <n v="4.5379184037345617"/>
    <n v="1.275447"/>
    <n v="10.7277"/>
    <n v="3.7820100000000001"/>
  </r>
  <r>
    <s v="./specbzip/l1d.32kB_l1i.16kB"/>
    <n v="0.73653299999999999"/>
    <n v="0.12842100000000001"/>
    <n v="0.172793"/>
    <n v="149.45799700000001"/>
    <x v="0"/>
    <x v="3"/>
    <x v="0"/>
    <n v="1"/>
    <x v="0"/>
    <x v="3"/>
    <x v="0"/>
    <x v="0"/>
    <x v="0"/>
    <x v="1"/>
    <n v="6.6908430466922422"/>
    <n v="0.864954"/>
    <n v="8.2911800000000007"/>
    <n v="2.7398099999999999"/>
  </r>
  <r>
    <s v="./specbzip/l1d.64kB_l1i.32kB"/>
    <n v="1.14703"/>
    <n v="0.34284199999999998"/>
    <n v="0.16935900000000001"/>
    <n v="252.32323199999999"/>
    <x v="0"/>
    <x v="3"/>
    <x v="0"/>
    <n v="1"/>
    <x v="1"/>
    <x v="0"/>
    <x v="0"/>
    <x v="0"/>
    <x v="0"/>
    <x v="1"/>
    <n v="3.9631705415060634"/>
    <n v="1.4898720000000001"/>
    <n v="10.9665"/>
    <n v="3.6544699999999999"/>
  </r>
  <r>
    <s v="./specbzip/l1d.64kB_l1i.16kB"/>
    <n v="1.13951"/>
    <n v="0.34281099999999998"/>
    <n v="0.16938400000000001"/>
    <n v="251.08145999999999"/>
    <x v="0"/>
    <x v="3"/>
    <x v="0"/>
    <n v="1"/>
    <x v="1"/>
    <x v="3"/>
    <x v="0"/>
    <x v="0"/>
    <x v="0"/>
    <x v="1"/>
    <n v="3.9827711691655767"/>
    <n v="1.482321"/>
    <n v="10.918900000000001"/>
    <n v="3.6363699999999999"/>
  </r>
  <r>
    <s v="./specbzip/l1d.32kB_l1i.128kB"/>
    <n v="1.4289400000000001"/>
    <n v="0.128417"/>
    <n v="0.17277500000000001"/>
    <n v="269.07235600000001"/>
    <x v="0"/>
    <x v="3"/>
    <x v="0"/>
    <n v="1"/>
    <x v="0"/>
    <x v="1"/>
    <x v="0"/>
    <x v="0"/>
    <x v="0"/>
    <x v="1"/>
    <n v="3.7164724569476024"/>
    <n v="1.5573570000000001"/>
    <n v="13.0563"/>
    <n v="4.31494"/>
  </r>
  <r>
    <s v="./specbzip/l2d_assoc.2"/>
    <n v="1.14703"/>
    <n v="0.128417"/>
    <n v="0.17277500000000001"/>
    <n v="220.36535499999999"/>
    <x v="0"/>
    <x v="1"/>
    <x v="0"/>
    <n v="1"/>
    <x v="0"/>
    <x v="0"/>
    <x v="0"/>
    <x v="0"/>
    <x v="0"/>
    <x v="1"/>
    <n v="4.5379184037345617"/>
    <n v="1.275447"/>
    <n v="10.7277"/>
    <n v="3.7820100000000001"/>
  </r>
  <r>
    <s v="./specbzip/l1d_assoc.4"/>
    <n v="1.22661"/>
    <n v="0.27309"/>
    <n v="0.16750599999999999"/>
    <n v="251.20874800000001"/>
    <x v="0"/>
    <x v="5"/>
    <x v="0"/>
    <n v="1"/>
    <x v="0"/>
    <x v="0"/>
    <x v="2"/>
    <x v="0"/>
    <x v="0"/>
    <x v="1"/>
    <n v="3.9807530906527191"/>
    <n v="1.4997"/>
    <n v="11.603899999999999"/>
    <n v="4.2146999999999997"/>
  </r>
  <r>
    <s v="./specbzip/cacheline.128"/>
    <n v="1.1059399999999999"/>
    <n v="0.228792"/>
    <n v="0.173092"/>
    <n v="231.031431"/>
    <x v="0"/>
    <x v="6"/>
    <x v="1"/>
    <n v="1"/>
    <x v="0"/>
    <x v="0"/>
    <x v="0"/>
    <x v="0"/>
    <x v="0"/>
    <x v="1"/>
    <n v="4.3284153834462469"/>
    <n v="1.3347319999999998"/>
    <n v="27.278600000000001"/>
    <n v="8.1870999999999992"/>
  </r>
  <r>
    <s v="./specbzip/l1d.16kB_l1i.16kB"/>
    <n v="0.72901800000000005"/>
    <n v="0.12597900000000001"/>
    <n v="0.17737800000000001"/>
    <n v="151.657658"/>
    <x v="0"/>
    <x v="3"/>
    <x v="0"/>
    <n v="1"/>
    <x v="2"/>
    <x v="3"/>
    <x v="0"/>
    <x v="0"/>
    <x v="0"/>
    <x v="1"/>
    <n v="6.5937982505308108"/>
    <n v="0.85499700000000001"/>
    <n v="8.2387999999999995"/>
    <n v="2.7204899999999999"/>
  </r>
  <r>
    <s v="./specbzip/l2_size.512kB"/>
    <n v="1.14703"/>
    <n v="0.128417"/>
    <n v="0.17277500000000001"/>
    <n v="220.36535499999999"/>
    <x v="0"/>
    <x v="0"/>
    <x v="0"/>
    <n v="1"/>
    <x v="0"/>
    <x v="0"/>
    <x v="0"/>
    <x v="0"/>
    <x v="0"/>
    <x v="1"/>
    <n v="4.5379184037345617"/>
    <n v="1.275447"/>
    <n v="10.7277"/>
    <n v="3.7820100000000001"/>
  </r>
  <r>
    <s v="./specbzip/cacheline.64"/>
    <n v="1.14703"/>
    <n v="0.128417"/>
    <n v="0.17277500000000001"/>
    <n v="220.36535499999999"/>
    <x v="0"/>
    <x v="6"/>
    <x v="0"/>
    <n v="1"/>
    <x v="0"/>
    <x v="0"/>
    <x v="0"/>
    <x v="0"/>
    <x v="0"/>
    <x v="1"/>
    <n v="4.5379184037345617"/>
    <n v="1.275447"/>
    <n v="10.7277"/>
    <n v="3.7820100000000001"/>
  </r>
  <r>
    <s v="./specbzip/l1d.128kB_l1i.32kB"/>
    <n v="1.4289400000000001"/>
    <n v="0.43804900000000002"/>
    <n v="0.165716"/>
    <n v="309.389949"/>
    <x v="0"/>
    <x v="3"/>
    <x v="0"/>
    <n v="1"/>
    <x v="3"/>
    <x v="0"/>
    <x v="0"/>
    <x v="0"/>
    <x v="0"/>
    <x v="1"/>
    <n v="3.2321670540111826"/>
    <n v="1.8669890000000002"/>
    <n v="13.528"/>
    <n v="4.1447799999999999"/>
  </r>
  <r>
    <s v="./specbzip/l1d.16kB_l1i.64kB"/>
    <n v="1.13951"/>
    <n v="0.125973"/>
    <n v="0.17736199999999999"/>
    <n v="224.44859600000001"/>
    <x v="0"/>
    <x v="3"/>
    <x v="0"/>
    <n v="1"/>
    <x v="2"/>
    <x v="2"/>
    <x v="0"/>
    <x v="0"/>
    <x v="0"/>
    <x v="1"/>
    <n v="4.4553631335702359"/>
    <n v="1.2654830000000001"/>
    <n v="10.6753"/>
    <n v="3.7626900000000001"/>
  </r>
  <r>
    <s v="./specbzip/cacheline.32"/>
    <n v="0.84024299999999996"/>
    <n v="0.11261500000000001"/>
    <n v="0.18363699999999999"/>
    <n v="174.979985"/>
    <x v="0"/>
    <x v="6"/>
    <x v="2"/>
    <n v="1"/>
    <x v="0"/>
    <x v="0"/>
    <x v="0"/>
    <x v="0"/>
    <x v="0"/>
    <x v="1"/>
    <n v="5.7149393400622364"/>
    <n v="0.95285799999999998"/>
    <n v="8.6724599999999992"/>
    <n v="2.17171"/>
  </r>
  <r>
    <s v="./specbzip/l1d.64kB_l1i.64kB"/>
    <n v="1.55"/>
    <n v="0.34282499999999999"/>
    <n v="0.16936899999999999"/>
    <n v="320.58587699999998"/>
    <x v="0"/>
    <x v="3"/>
    <x v="0"/>
    <n v="1"/>
    <x v="1"/>
    <x v="2"/>
    <x v="0"/>
    <x v="0"/>
    <x v="0"/>
    <x v="1"/>
    <n v="3.1192890009936405"/>
    <n v="1.892825"/>
    <n v="13.355399999999999"/>
    <n v="4.6785699999999997"/>
  </r>
  <r>
    <s v="./specbzip/l1d.128kB_l1i.64kB"/>
    <n v="1.83192"/>
    <n v="0.43806899999999999"/>
    <n v="0.16570799999999999"/>
    <n v="376.15533699999997"/>
    <x v="0"/>
    <x v="3"/>
    <x v="0"/>
    <n v="1"/>
    <x v="3"/>
    <x v="2"/>
    <x v="0"/>
    <x v="0"/>
    <x v="0"/>
    <x v="1"/>
    <n v="2.6584761709761415"/>
    <n v="2.2699889999999998"/>
    <n v="15.9169"/>
    <n v="5.1688700000000001"/>
  </r>
  <r>
    <s v="./specbzip/l2_size.1MB"/>
    <n v="1.14855"/>
    <n v="0.13248099999999999"/>
    <n v="0.17011599999999999"/>
    <n v="217.92386999999999"/>
    <x v="0"/>
    <x v="0"/>
    <x v="0"/>
    <n v="1"/>
    <x v="0"/>
    <x v="0"/>
    <x v="0"/>
    <x v="0"/>
    <x v="0"/>
    <x v="3"/>
    <n v="4.588758450370765"/>
    <n v="1.281031"/>
    <n v="12.81"/>
    <n v="3.8508"/>
  </r>
  <r>
    <s v="./specbzip/l1d.16kB_l1i.128kB"/>
    <n v="1.4214199999999999"/>
    <n v="0.12597900000000001"/>
    <n v="0.17735300000000001"/>
    <n v="274.435855"/>
    <x v="0"/>
    <x v="3"/>
    <x v="0"/>
    <n v="1"/>
    <x v="2"/>
    <x v="1"/>
    <x v="0"/>
    <x v="0"/>
    <x v="0"/>
    <x v="1"/>
    <n v="3.6438387396573964"/>
    <n v="1.547399"/>
    <n v="13.0039"/>
    <n v="4.2956300000000001"/>
  </r>
  <r>
    <s v="./specbzip/l2_size.4MB"/>
    <n v="1.1553500000000001"/>
    <n v="0.14599899999999999"/>
    <n v="0.166682"/>
    <n v="216.91145399999999"/>
    <x v="0"/>
    <x v="0"/>
    <x v="0"/>
    <n v="1"/>
    <x v="0"/>
    <x v="0"/>
    <x v="0"/>
    <x v="0"/>
    <x v="0"/>
    <x v="4"/>
    <n v="4.6101760951729176"/>
    <n v="1.3013490000000001"/>
    <n v="21.516200000000001"/>
    <n v="4.0805100000000003"/>
  </r>
  <r>
    <s v="./spechmmer/l2_size.256kB"/>
    <n v="1.1464399999999999"/>
    <n v="8.7482000000000004E-2"/>
    <n v="5.8999999999999998E-5"/>
    <n v="7.2801000000000005E-2"/>
    <x v="1"/>
    <x v="0"/>
    <x v="0"/>
    <n v="1"/>
    <x v="0"/>
    <x v="0"/>
    <x v="0"/>
    <x v="0"/>
    <x v="0"/>
    <x v="0"/>
    <n v="6.8680375269570471"/>
    <n v="1.233922"/>
    <n v="10.182499999999999"/>
    <n v="3.7515200000000002"/>
  </r>
  <r>
    <s v="./spechmmer/l2d_assoc.4"/>
    <n v="1.14703"/>
    <n v="8.7862999999999997E-2"/>
    <n v="5.8999999999999998E-5"/>
    <n v="7.2858999999999993E-2"/>
    <x v="1"/>
    <x v="1"/>
    <x v="0"/>
    <n v="1"/>
    <x v="0"/>
    <x v="0"/>
    <x v="0"/>
    <x v="0"/>
    <x v="1"/>
    <x v="1"/>
    <n v="6.8625701697799864"/>
    <n v="1.234893"/>
    <n v="10.7264"/>
    <n v="3.7822800000000001"/>
  </r>
  <r>
    <s v="./spechmmer/l1i_assoc.2"/>
    <n v="1.14927"/>
    <n v="8.77E-2"/>
    <n v="5.8999999999999998E-5"/>
    <n v="7.2981000000000004E-2"/>
    <x v="1"/>
    <x v="2"/>
    <x v="0"/>
    <n v="1"/>
    <x v="0"/>
    <x v="0"/>
    <x v="0"/>
    <x v="1"/>
    <x v="0"/>
    <x v="1"/>
    <n v="6.8510982310464366"/>
    <n v="1.2369699999999999"/>
    <n v="10.7638"/>
    <n v="3.7873899999999998"/>
  </r>
  <r>
    <s v="./spechmmer/l1d.64kB_l1i.128kB"/>
    <n v="1.83192"/>
    <n v="0.14600099999999999"/>
    <n v="5.8E-5"/>
    <n v="0.114719"/>
    <x v="1"/>
    <x v="3"/>
    <x v="0"/>
    <n v="1"/>
    <x v="1"/>
    <x v="1"/>
    <x v="0"/>
    <x v="0"/>
    <x v="0"/>
    <x v="1"/>
    <n v="4.358475928137449"/>
    <n v="1.977921"/>
    <n v="15.683999999999999"/>
    <n v="5.2115"/>
  </r>
  <r>
    <s v="./spechmmer/l1d.16kB_l1i.32kB"/>
    <n v="0.73653299999999999"/>
    <n v="8.3642999999999995E-2"/>
    <n v="6.0999999999999999E-5"/>
    <n v="5.0030999999999999E-2"/>
    <x v="1"/>
    <x v="3"/>
    <x v="0"/>
    <n v="1"/>
    <x v="2"/>
    <x v="0"/>
    <x v="0"/>
    <x v="0"/>
    <x v="0"/>
    <x v="1"/>
    <n v="9.9938038416181971"/>
    <n v="0.82017600000000002"/>
    <n v="8.2864199999999997"/>
    <n v="2.7385999999999999"/>
  </r>
  <r>
    <s v="./spechmmer/cpu_clock.1GHz"/>
    <n v="1.14703"/>
    <n v="8.7855000000000003E-2"/>
    <n v="5.8999999999999998E-5"/>
    <n v="7.2858000000000006E-2"/>
    <x v="1"/>
    <x v="4"/>
    <x v="0"/>
    <n v="1"/>
    <x v="0"/>
    <x v="0"/>
    <x v="0"/>
    <x v="0"/>
    <x v="0"/>
    <x v="1"/>
    <n v="6.8626643608114408"/>
    <n v="1.234885"/>
    <n v="10.7277"/>
    <n v="3.7820100000000001"/>
  </r>
  <r>
    <s v="./spechmmer/l1d.32kB_l1i.64kB"/>
    <n v="1.14703"/>
    <n v="8.7855000000000003E-2"/>
    <n v="5.8999999999999998E-5"/>
    <n v="7.2858000000000006E-2"/>
    <x v="1"/>
    <x v="3"/>
    <x v="0"/>
    <n v="1"/>
    <x v="0"/>
    <x v="2"/>
    <x v="0"/>
    <x v="0"/>
    <x v="0"/>
    <x v="1"/>
    <n v="6.8626643608114408"/>
    <n v="1.234885"/>
    <n v="10.7277"/>
    <n v="3.7820100000000001"/>
  </r>
  <r>
    <s v="./spechmmer/l2d_assoc.1"/>
    <n v="1.1470199999999999"/>
    <n v="8.7855000000000003E-2"/>
    <n v="5.8999999999999998E-5"/>
    <n v="7.2858000000000006E-2"/>
    <x v="1"/>
    <x v="1"/>
    <x v="0"/>
    <n v="1"/>
    <x v="0"/>
    <x v="0"/>
    <x v="0"/>
    <x v="0"/>
    <x v="2"/>
    <x v="1"/>
    <n v="6.8626643608114408"/>
    <n v="1.2348749999999999"/>
    <n v="10.7286"/>
    <n v="3.7819699999999998"/>
  </r>
  <r>
    <s v="./spechmmer/l1i_assoc.1"/>
    <n v="1.14703"/>
    <n v="8.7855000000000003E-2"/>
    <n v="5.8999999999999998E-5"/>
    <n v="7.2858000000000006E-2"/>
    <x v="1"/>
    <x v="2"/>
    <x v="0"/>
    <n v="1"/>
    <x v="0"/>
    <x v="0"/>
    <x v="0"/>
    <x v="0"/>
    <x v="0"/>
    <x v="1"/>
    <n v="6.8626643608114408"/>
    <n v="1.234885"/>
    <n v="10.7277"/>
    <n v="3.7820100000000001"/>
  </r>
  <r>
    <s v="./spechmmer/l1d.32kB_l1i.32kB"/>
    <n v="0.74404700000000001"/>
    <n v="8.4010000000000001E-2"/>
    <n v="6.0000000000000002E-5"/>
    <n v="4.9682999999999998E-2"/>
    <x v="1"/>
    <x v="3"/>
    <x v="0"/>
    <n v="1"/>
    <x v="0"/>
    <x v="0"/>
    <x v="0"/>
    <x v="0"/>
    <x v="0"/>
    <x v="1"/>
    <n v="10.063804520660991"/>
    <n v="0.82805700000000004"/>
    <n v="8.3388000000000009"/>
    <n v="2.7579199999999999"/>
  </r>
  <r>
    <s v="./spechmmer/l1i_assoc.4"/>
    <n v="0.87417199999999995"/>
    <n v="8.7983000000000006E-2"/>
    <n v="5.8999999999999998E-5"/>
    <n v="5.6766999999999998E-2"/>
    <x v="1"/>
    <x v="2"/>
    <x v="0"/>
    <n v="1"/>
    <x v="0"/>
    <x v="0"/>
    <x v="0"/>
    <x v="2"/>
    <x v="0"/>
    <x v="1"/>
    <n v="8.8079341871157535"/>
    <n v="0.96215499999999998"/>
    <n v="9.7305700000000002"/>
    <n v="3.4842"/>
  </r>
  <r>
    <s v="./spechmmer/l1d.128kB_l1i.16kB"/>
    <n v="1.4214199999999999"/>
    <n v="0.160857"/>
    <n v="6.0000000000000002E-5"/>
    <n v="9.4936999999999994E-2"/>
    <x v="1"/>
    <x v="3"/>
    <x v="0"/>
    <n v="1"/>
    <x v="3"/>
    <x v="3"/>
    <x v="0"/>
    <x v="0"/>
    <x v="0"/>
    <x v="1"/>
    <n v="5.266650515605086"/>
    <n v="1.5822769999999999"/>
    <n v="13.480399999999999"/>
    <n v="4.1266699999999998"/>
  </r>
  <r>
    <s v="./spechmmer/l1d_assoc.2"/>
    <n v="1.1473599999999999"/>
    <n v="8.9768000000000001E-2"/>
    <n v="5.8E-5"/>
    <n v="7.1752999999999997E-2"/>
    <x v="1"/>
    <x v="5"/>
    <x v="0"/>
    <n v="1"/>
    <x v="0"/>
    <x v="0"/>
    <x v="1"/>
    <x v="0"/>
    <x v="0"/>
    <x v="1"/>
    <n v="6.9683497554109239"/>
    <n v="1.237128"/>
    <n v="10.764200000000001"/>
    <n v="3.8013499999999998"/>
  </r>
  <r>
    <s v="./spechmmer/l1d.128kB_l1i.128kB"/>
    <n v="2.1138300000000001"/>
    <n v="0.169988"/>
    <n v="5.8E-5"/>
    <n v="0.132461"/>
    <x v="1"/>
    <x v="3"/>
    <x v="0"/>
    <n v="1"/>
    <x v="3"/>
    <x v="1"/>
    <x v="0"/>
    <x v="0"/>
    <x v="0"/>
    <x v="1"/>
    <n v="3.7746959482413693"/>
    <n v="2.2838180000000001"/>
    <n v="18.2455"/>
    <n v="5.70181"/>
  </r>
  <r>
    <s v="./spechmmer/l2_size.2MB"/>
    <n v="1.15062"/>
    <n v="9.0008000000000005E-2"/>
    <n v="5.8999999999999998E-5"/>
    <n v="7.3196999999999998E-2"/>
    <x v="1"/>
    <x v="0"/>
    <x v="0"/>
    <n v="1"/>
    <x v="0"/>
    <x v="0"/>
    <x v="0"/>
    <x v="0"/>
    <x v="0"/>
    <x v="2"/>
    <n v="6.8308810470374475"/>
    <n v="1.2406280000000001"/>
    <n v="16.329799999999999"/>
    <n v="3.9575200000000001"/>
  </r>
  <r>
    <s v="./spechmmer/l1d_assoc.1"/>
    <n v="1.14703"/>
    <n v="8.7855000000000003E-2"/>
    <n v="5.8999999999999998E-5"/>
    <n v="7.2858000000000006E-2"/>
    <x v="1"/>
    <x v="5"/>
    <x v="0"/>
    <n v="1"/>
    <x v="0"/>
    <x v="0"/>
    <x v="0"/>
    <x v="0"/>
    <x v="0"/>
    <x v="1"/>
    <n v="6.8626643608114408"/>
    <n v="1.234885"/>
    <n v="10.7277"/>
    <n v="3.7820100000000001"/>
  </r>
  <r>
    <s v="./spechmmer/l1d.32kB_l1i.16kB"/>
    <n v="0.73653299999999999"/>
    <n v="8.4698999999999997E-2"/>
    <n v="6.0999999999999999E-5"/>
    <n v="5.0095000000000001E-2"/>
    <x v="1"/>
    <x v="3"/>
    <x v="0"/>
    <n v="1"/>
    <x v="0"/>
    <x v="3"/>
    <x v="0"/>
    <x v="0"/>
    <x v="0"/>
    <x v="1"/>
    <n v="9.9810360315400732"/>
    <n v="0.82123199999999996"/>
    <n v="8.2911800000000007"/>
    <n v="2.7398099999999999"/>
  </r>
  <r>
    <s v="./spechmmer/l1d.64kB_l1i.32kB"/>
    <n v="1.14703"/>
    <n v="0.14014099999999999"/>
    <n v="5.8999999999999998E-5"/>
    <n v="7.5942999999999997E-2"/>
    <x v="1"/>
    <x v="3"/>
    <x v="0"/>
    <n v="1"/>
    <x v="1"/>
    <x v="0"/>
    <x v="0"/>
    <x v="0"/>
    <x v="0"/>
    <x v="1"/>
    <n v="6.5838852823828402"/>
    <n v="1.2871710000000001"/>
    <n v="10.9665"/>
    <n v="3.6544699999999999"/>
  </r>
  <r>
    <s v="./spechmmer/l1d.64kB_l1i.16kB"/>
    <n v="1.13951"/>
    <n v="0.13935800000000001"/>
    <n v="6.0000000000000002E-5"/>
    <n v="7.6731999999999995E-2"/>
    <x v="1"/>
    <x v="3"/>
    <x v="0"/>
    <n v="1"/>
    <x v="1"/>
    <x v="3"/>
    <x v="0"/>
    <x v="0"/>
    <x v="0"/>
    <x v="1"/>
    <n v="6.5161862065370384"/>
    <n v="1.2788680000000001"/>
    <n v="10.918900000000001"/>
    <n v="3.6363699999999999"/>
  </r>
  <r>
    <s v="./spechmmer/l1d.32kB_l1i.128kB"/>
    <n v="1.4289400000000001"/>
    <n v="8.9607999999999993E-2"/>
    <n v="5.8999999999999998E-5"/>
    <n v="8.9593999999999993E-2"/>
    <x v="1"/>
    <x v="3"/>
    <x v="0"/>
    <n v="1"/>
    <x v="0"/>
    <x v="1"/>
    <x v="0"/>
    <x v="0"/>
    <x v="0"/>
    <x v="1"/>
    <n v="5.5807308525124455"/>
    <n v="1.518548"/>
    <n v="13.0563"/>
    <n v="4.31494"/>
  </r>
  <r>
    <s v="./spechmmer/l2d_assoc.2"/>
    <n v="1.14703"/>
    <n v="8.7855000000000003E-2"/>
    <n v="5.8999999999999998E-5"/>
    <n v="7.2858000000000006E-2"/>
    <x v="1"/>
    <x v="1"/>
    <x v="0"/>
    <n v="1"/>
    <x v="0"/>
    <x v="0"/>
    <x v="0"/>
    <x v="0"/>
    <x v="0"/>
    <x v="1"/>
    <n v="6.8626643608114408"/>
    <n v="1.234885"/>
    <n v="10.7277"/>
    <n v="3.7820100000000001"/>
  </r>
  <r>
    <s v="./spechmmer/l1d_assoc.4"/>
    <n v="1.22661"/>
    <n v="0.13103100000000001"/>
    <n v="5.8E-5"/>
    <n v="7.8742999999999994E-2"/>
    <x v="1"/>
    <x v="5"/>
    <x v="0"/>
    <n v="1"/>
    <x v="0"/>
    <x v="0"/>
    <x v="2"/>
    <x v="0"/>
    <x v="0"/>
    <x v="1"/>
    <n v="6.3497707732750852"/>
    <n v="1.3576410000000001"/>
    <n v="11.603899999999999"/>
    <n v="4.2146999999999997"/>
  </r>
  <r>
    <s v="./spechmmer/cacheline.128"/>
    <n v="1.1059399999999999"/>
    <n v="0.121987"/>
    <n v="5.0000000000000002E-5"/>
    <n v="6.1395999999999999E-2"/>
    <x v="1"/>
    <x v="6"/>
    <x v="1"/>
    <n v="1"/>
    <x v="0"/>
    <x v="0"/>
    <x v="0"/>
    <x v="0"/>
    <x v="0"/>
    <x v="1"/>
    <n v="8.1438530197406998"/>
    <n v="1.227927"/>
    <n v="27.278600000000001"/>
    <n v="8.1870999999999992"/>
  </r>
  <r>
    <s v="./spechmmer/l1d.16kB_l1i.16kB"/>
    <n v="0.72901800000000005"/>
    <n v="8.4891999999999995E-2"/>
    <n v="6.0999999999999999E-5"/>
    <n v="4.9648999999999999E-2"/>
    <x v="1"/>
    <x v="3"/>
    <x v="0"/>
    <n v="1"/>
    <x v="2"/>
    <x v="3"/>
    <x v="0"/>
    <x v="0"/>
    <x v="0"/>
    <x v="1"/>
    <n v="10.070696287941349"/>
    <n v="0.81391000000000002"/>
    <n v="8.2387999999999995"/>
    <n v="2.7204899999999999"/>
  </r>
  <r>
    <s v="./spechmmer/l2_size.512kB"/>
    <n v="1.14703"/>
    <n v="8.7855000000000003E-2"/>
    <n v="5.8999999999999998E-5"/>
    <n v="7.2858000000000006E-2"/>
    <x v="1"/>
    <x v="0"/>
    <x v="0"/>
    <n v="1"/>
    <x v="0"/>
    <x v="0"/>
    <x v="0"/>
    <x v="0"/>
    <x v="0"/>
    <x v="1"/>
    <n v="6.8626643608114408"/>
    <n v="1.234885"/>
    <n v="10.7277"/>
    <n v="3.7820100000000001"/>
  </r>
  <r>
    <s v="./spechmmer/cacheline.64"/>
    <n v="1.14703"/>
    <n v="8.7855000000000003E-2"/>
    <n v="5.8999999999999998E-5"/>
    <n v="7.2858000000000006E-2"/>
    <x v="1"/>
    <x v="6"/>
    <x v="0"/>
    <n v="1"/>
    <x v="0"/>
    <x v="0"/>
    <x v="0"/>
    <x v="0"/>
    <x v="0"/>
    <x v="1"/>
    <n v="6.8626643608114408"/>
    <n v="1.234885"/>
    <n v="10.7277"/>
    <n v="3.7820100000000001"/>
  </r>
  <r>
    <s v="./spechmmer/l1d.128kB_l1i.32kB"/>
    <n v="1.4289400000000001"/>
    <n v="0.16298799999999999"/>
    <n v="5.8999999999999998E-5"/>
    <n v="9.3923999999999994E-2"/>
    <x v="1"/>
    <x v="3"/>
    <x v="0"/>
    <n v="1"/>
    <x v="3"/>
    <x v="0"/>
    <x v="0"/>
    <x v="0"/>
    <x v="0"/>
    <x v="1"/>
    <n v="5.3234530045568764"/>
    <n v="1.591928"/>
    <n v="13.528"/>
    <n v="4.1447799999999999"/>
  </r>
  <r>
    <s v="./spechmmer/l1d.16kB_l1i.64kB"/>
    <n v="1.13951"/>
    <n v="8.7309999999999999E-2"/>
    <n v="6.0000000000000002E-5"/>
    <n v="7.3608999999999994E-2"/>
    <x v="1"/>
    <x v="3"/>
    <x v="0"/>
    <n v="1"/>
    <x v="2"/>
    <x v="2"/>
    <x v="0"/>
    <x v="0"/>
    <x v="0"/>
    <x v="1"/>
    <n v="6.7926476381964171"/>
    <n v="1.22682"/>
    <n v="10.6753"/>
    <n v="3.7626900000000001"/>
  </r>
  <r>
    <s v="./spechmmer/cacheline.32"/>
    <n v="0.84024299999999996"/>
    <n v="7.4321999999999999E-2"/>
    <n v="8.1000000000000004E-5"/>
    <n v="7.4079999999999993E-2"/>
    <x v="1"/>
    <x v="6"/>
    <x v="2"/>
    <n v="1"/>
    <x v="0"/>
    <x v="0"/>
    <x v="0"/>
    <x v="0"/>
    <x v="0"/>
    <x v="1"/>
    <n v="6.7494600431965441"/>
    <n v="0.91456499999999996"/>
    <n v="8.6724599999999992"/>
    <n v="2.17171"/>
  </r>
  <r>
    <s v="./spechmmer/l1d.64kB_l1i.64kB"/>
    <n v="1.55"/>
    <n v="0.14433199999999999"/>
    <n v="5.8E-5"/>
    <n v="9.8270999999999997E-2"/>
    <x v="1"/>
    <x v="3"/>
    <x v="0"/>
    <n v="1"/>
    <x v="1"/>
    <x v="2"/>
    <x v="0"/>
    <x v="0"/>
    <x v="0"/>
    <x v="1"/>
    <n v="5.0879710189170764"/>
    <n v="1.6943319999999999"/>
    <n v="13.355399999999999"/>
    <n v="4.6785699999999997"/>
  </r>
  <r>
    <s v="./spechmmer/l1d.128kB_l1i.64kB"/>
    <n v="1.83192"/>
    <n v="0.16806599999999999"/>
    <n v="5.8E-5"/>
    <n v="0.115999"/>
    <x v="1"/>
    <x v="3"/>
    <x v="0"/>
    <n v="1"/>
    <x v="3"/>
    <x v="2"/>
    <x v="0"/>
    <x v="0"/>
    <x v="0"/>
    <x v="1"/>
    <n v="4.3103819860516035"/>
    <n v="1.999986"/>
    <n v="15.9169"/>
    <n v="5.1688700000000001"/>
  </r>
  <r>
    <s v="./spechmmer/l2_size.1MB"/>
    <n v="1.14855"/>
    <n v="8.8681999999999997E-2"/>
    <n v="5.8999999999999998E-5"/>
    <n v="7.2997000000000006E-2"/>
    <x v="1"/>
    <x v="0"/>
    <x v="0"/>
    <n v="1"/>
    <x v="0"/>
    <x v="0"/>
    <x v="0"/>
    <x v="0"/>
    <x v="0"/>
    <x v="3"/>
    <n v="6.8495965587626886"/>
    <n v="1.2372319999999999"/>
    <n v="12.81"/>
    <n v="3.8508"/>
  </r>
  <r>
    <s v="./spechmmer/l1d.16kB_l1i.128kB"/>
    <n v="1.4214199999999999"/>
    <n v="8.8956999999999994E-2"/>
    <n v="6.0000000000000002E-5"/>
    <n v="9.0622999999999995E-2"/>
    <x v="1"/>
    <x v="3"/>
    <x v="0"/>
    <n v="1"/>
    <x v="2"/>
    <x v="1"/>
    <x v="0"/>
    <x v="0"/>
    <x v="0"/>
    <x v="1"/>
    <n v="5.5173631418072677"/>
    <n v="1.5103769999999999"/>
    <n v="13.0039"/>
    <n v="4.2956300000000001"/>
  </r>
  <r>
    <s v="./spechmmer/l2_size.4MB"/>
    <n v="1.1553500000000001"/>
    <n v="9.1427999999999995E-2"/>
    <n v="5.8999999999999998E-5"/>
    <n v="7.356E-2"/>
    <x v="1"/>
    <x v="0"/>
    <x v="0"/>
    <n v="1"/>
    <x v="0"/>
    <x v="0"/>
    <x v="0"/>
    <x v="0"/>
    <x v="0"/>
    <x v="4"/>
    <n v="6.7971723762914626"/>
    <n v="1.2467780000000002"/>
    <n v="21.516200000000001"/>
    <n v="4.0805100000000003"/>
  </r>
  <r>
    <s v="./speclibm/l2_size.256kB"/>
    <n v="1.1464399999999999"/>
    <n v="0.113189"/>
    <n v="0.70424200000000003"/>
    <n v="887.08364600000004"/>
    <x v="2"/>
    <x v="0"/>
    <x v="0"/>
    <n v="1"/>
    <x v="0"/>
    <x v="0"/>
    <x v="0"/>
    <x v="0"/>
    <x v="0"/>
    <x v="0"/>
    <n v="1.1272894100901956"/>
    <n v="1.2596289999999999"/>
    <n v="10.182499999999999"/>
    <n v="3.7515200000000002"/>
  </r>
  <r>
    <s v="./speclibm/l2d_assoc.4"/>
    <n v="1.14703"/>
    <n v="0.114356"/>
    <n v="0.704237"/>
    <n v="888.31469200000004"/>
    <x v="2"/>
    <x v="1"/>
    <x v="0"/>
    <n v="1"/>
    <x v="0"/>
    <x v="0"/>
    <x v="0"/>
    <x v="0"/>
    <x v="1"/>
    <x v="1"/>
    <n v="1.1257271876800166"/>
    <n v="1.2613859999999999"/>
    <n v="10.7264"/>
    <n v="3.7822800000000001"/>
  </r>
  <r>
    <s v="./speclibm/l1i_assoc.2"/>
    <n v="1.14927"/>
    <n v="0.114303"/>
    <n v="0.70422200000000001"/>
    <n v="889.83590500000003"/>
    <x v="2"/>
    <x v="2"/>
    <x v="0"/>
    <n v="1"/>
    <x v="0"/>
    <x v="0"/>
    <x v="0"/>
    <x v="1"/>
    <x v="0"/>
    <x v="1"/>
    <n v="1.1238027083206987"/>
    <n v="1.2635730000000001"/>
    <n v="10.7638"/>
    <n v="3.7873899999999998"/>
  </r>
  <r>
    <s v="./speclibm/l1d.64kB_l1i.128kB"/>
    <n v="1.83192"/>
    <n v="0.21135899999999999"/>
    <n v="0.70417700000000005"/>
    <n v="1438.830076"/>
    <x v="2"/>
    <x v="3"/>
    <x v="0"/>
    <n v="1"/>
    <x v="1"/>
    <x v="1"/>
    <x v="0"/>
    <x v="0"/>
    <x v="0"/>
    <x v="1"/>
    <n v="0.69500910265931926"/>
    <n v="2.0432790000000001"/>
    <n v="15.683999999999999"/>
    <n v="5.2115"/>
  </r>
  <r>
    <s v="./speclibm/l1d.16kB_l1i.32kB"/>
    <n v="0.73653299999999999"/>
    <n v="0.11126800000000001"/>
    <n v="0.70467500000000005"/>
    <n v="597.42417"/>
    <x v="2"/>
    <x v="3"/>
    <x v="0"/>
    <n v="1"/>
    <x v="2"/>
    <x v="0"/>
    <x v="0"/>
    <x v="0"/>
    <x v="0"/>
    <x v="1"/>
    <n v="1.6738525995692473"/>
    <n v="0.84780100000000003"/>
    <n v="8.2864199999999997"/>
    <n v="2.7385999999999999"/>
  </r>
  <r>
    <s v="./speclibm/cpu_clock.1GHz"/>
    <n v="1.14703"/>
    <n v="0.114302"/>
    <n v="0.70422399999999996"/>
    <n v="888.260266"/>
    <x v="2"/>
    <x v="4"/>
    <x v="0"/>
    <n v="1"/>
    <x v="0"/>
    <x v="0"/>
    <x v="0"/>
    <x v="0"/>
    <x v="0"/>
    <x v="1"/>
    <n v="1.1257961638914511"/>
    <n v="1.2613319999999999"/>
    <n v="10.7277"/>
    <n v="3.7820100000000001"/>
  </r>
  <r>
    <s v="./speclibm/l1d.32kB_l1i.64kB"/>
    <n v="1.14703"/>
    <n v="0.114302"/>
    <n v="0.70422399999999996"/>
    <n v="888.260266"/>
    <x v="2"/>
    <x v="3"/>
    <x v="0"/>
    <n v="1"/>
    <x v="0"/>
    <x v="2"/>
    <x v="0"/>
    <x v="0"/>
    <x v="0"/>
    <x v="1"/>
    <n v="1.1257961638914511"/>
    <n v="1.2613319999999999"/>
    <n v="10.7277"/>
    <n v="3.7820100000000001"/>
  </r>
  <r>
    <s v="./speclibm/l2d_assoc.1"/>
    <n v="1.1470199999999999"/>
    <n v="0.114287"/>
    <n v="0.704233"/>
    <n v="888.25401299999999"/>
    <x v="2"/>
    <x v="1"/>
    <x v="0"/>
    <n v="1"/>
    <x v="0"/>
    <x v="0"/>
    <x v="0"/>
    <x v="0"/>
    <x v="2"/>
    <x v="1"/>
    <n v="1.125804089105759"/>
    <n v="1.261307"/>
    <n v="10.7286"/>
    <n v="3.7819699999999998"/>
  </r>
  <r>
    <s v="./speclibm/l1i_assoc.1"/>
    <n v="1.14703"/>
    <n v="0.114302"/>
    <n v="0.70422399999999996"/>
    <n v="888.260266"/>
    <x v="2"/>
    <x v="2"/>
    <x v="0"/>
    <n v="1"/>
    <x v="0"/>
    <x v="0"/>
    <x v="0"/>
    <x v="0"/>
    <x v="0"/>
    <x v="1"/>
    <n v="1.1257961638914511"/>
    <n v="1.2613319999999999"/>
    <n v="10.7277"/>
    <n v="3.7820100000000001"/>
  </r>
  <r>
    <s v="./speclibm/l1d.32kB_l1i.32kB"/>
    <n v="0.74404700000000001"/>
    <n v="0.114302"/>
    <n v="0.70422700000000005"/>
    <n v="604.47254099999998"/>
    <x v="2"/>
    <x v="3"/>
    <x v="0"/>
    <n v="1"/>
    <x v="0"/>
    <x v="0"/>
    <x v="0"/>
    <x v="0"/>
    <x v="0"/>
    <x v="1"/>
    <n v="1.6543348658082386"/>
    <n v="0.85834900000000003"/>
    <n v="8.3388000000000009"/>
    <n v="2.7579199999999999"/>
  </r>
  <r>
    <s v="./speclibm/l1i_assoc.4"/>
    <n v="0.87417199999999995"/>
    <n v="0.114302"/>
    <n v="0.70422600000000002"/>
    <n v="696.10909100000003"/>
    <x v="2"/>
    <x v="2"/>
    <x v="0"/>
    <n v="1"/>
    <x v="0"/>
    <x v="0"/>
    <x v="0"/>
    <x v="2"/>
    <x v="0"/>
    <x v="1"/>
    <n v="1.4365564434210212"/>
    <n v="0.98847399999999996"/>
    <n v="9.7305700000000002"/>
    <n v="3.4842"/>
  </r>
  <r>
    <s v="./speclibm/l1d.128kB_l1i.16kB"/>
    <n v="1.4214199999999999"/>
    <n v="0.255718"/>
    <n v="0.70414900000000002"/>
    <n v="1180.955046"/>
    <x v="2"/>
    <x v="3"/>
    <x v="0"/>
    <n v="1"/>
    <x v="3"/>
    <x v="3"/>
    <x v="0"/>
    <x v="0"/>
    <x v="0"/>
    <x v="1"/>
    <n v="0.84677228264283988"/>
    <n v="1.6771379999999998"/>
    <n v="13.480399999999999"/>
    <n v="4.1266699999999998"/>
  </r>
  <r>
    <s v="./speclibm/l1d_assoc.2"/>
    <n v="1.1473599999999999"/>
    <n v="0.116259"/>
    <n v="0.70412799999999998"/>
    <n v="889.74951899999996"/>
    <x v="2"/>
    <x v="5"/>
    <x v="0"/>
    <n v="1"/>
    <x v="0"/>
    <x v="0"/>
    <x v="1"/>
    <x v="0"/>
    <x v="0"/>
    <x v="1"/>
    <n v="1.1239118186025117"/>
    <n v="1.2636189999999998"/>
    <n v="10.764200000000001"/>
    <n v="3.8013499999999998"/>
  </r>
  <r>
    <s v="./speclibm/l1d.128kB_l1i.128kB"/>
    <n v="2.1138300000000001"/>
    <n v="0.25571899999999997"/>
    <n v="0.70414500000000002"/>
    <n v="1668.506081"/>
    <x v="2"/>
    <x v="3"/>
    <x v="0"/>
    <n v="1"/>
    <x v="3"/>
    <x v="1"/>
    <x v="0"/>
    <x v="0"/>
    <x v="0"/>
    <x v="1"/>
    <n v="0.5993385408584555"/>
    <n v="2.3695490000000001"/>
    <n v="18.2455"/>
    <n v="5.70181"/>
  </r>
  <r>
    <s v="./speclibm/l2_size.2MB"/>
    <n v="1.15062"/>
    <n v="0.121257"/>
    <n v="0.70411199999999996"/>
    <n v="895.543858"/>
    <x v="2"/>
    <x v="0"/>
    <x v="0"/>
    <n v="1"/>
    <x v="0"/>
    <x v="0"/>
    <x v="0"/>
    <x v="0"/>
    <x v="0"/>
    <x v="2"/>
    <n v="1.1166398954857215"/>
    <n v="1.2718769999999999"/>
    <n v="16.329799999999999"/>
    <n v="3.9575200000000001"/>
  </r>
  <r>
    <s v="./speclibm/l1d_assoc.1"/>
    <n v="1.14703"/>
    <n v="0.114302"/>
    <n v="0.70422399999999996"/>
    <n v="888.260266"/>
    <x v="2"/>
    <x v="5"/>
    <x v="0"/>
    <n v="1"/>
    <x v="0"/>
    <x v="0"/>
    <x v="0"/>
    <x v="0"/>
    <x v="0"/>
    <x v="1"/>
    <n v="1.1257961638914511"/>
    <n v="1.2613319999999999"/>
    <n v="10.7277"/>
    <n v="3.7820100000000001"/>
  </r>
  <r>
    <s v="./speclibm/l1d.32kB_l1i.16kB"/>
    <n v="0.73653299999999999"/>
    <n v="0.114302"/>
    <n v="0.70423000000000002"/>
    <n v="599.18353200000001"/>
    <x v="2"/>
    <x v="3"/>
    <x v="0"/>
    <n v="1"/>
    <x v="0"/>
    <x v="3"/>
    <x v="0"/>
    <x v="0"/>
    <x v="0"/>
    <x v="1"/>
    <n v="1.6689377237423808"/>
    <n v="0.85083500000000001"/>
    <n v="8.2911800000000007"/>
    <n v="2.7398099999999999"/>
  </r>
  <r>
    <s v="./speclibm/l1d.64kB_l1i.32kB"/>
    <n v="1.14703"/>
    <n v="0.21135799999999999"/>
    <n v="0.70417700000000005"/>
    <n v="956.54558699999995"/>
    <x v="2"/>
    <x v="3"/>
    <x v="0"/>
    <n v="1"/>
    <x v="1"/>
    <x v="0"/>
    <x v="0"/>
    <x v="0"/>
    <x v="0"/>
    <x v="1"/>
    <n v="1.0454284809742163"/>
    <n v="1.3583879999999999"/>
    <n v="10.9665"/>
    <n v="3.6544699999999999"/>
  </r>
  <r>
    <s v="./speclibm/l1d.64kB_l1i.16kB"/>
    <n v="1.13951"/>
    <n v="0.21135699999999999"/>
    <n v="0.70418099999999995"/>
    <n v="951.25487499999997"/>
    <x v="2"/>
    <x v="3"/>
    <x v="0"/>
    <n v="1"/>
    <x v="1"/>
    <x v="3"/>
    <x v="0"/>
    <x v="0"/>
    <x v="0"/>
    <x v="1"/>
    <n v="1.051242969976895"/>
    <n v="1.350867"/>
    <n v="10.918900000000001"/>
    <n v="3.6363699999999999"/>
  </r>
  <r>
    <s v="./speclibm/l1d.32kB_l1i.128kB"/>
    <n v="1.4289400000000001"/>
    <n v="0.114302"/>
    <n v="0.70422399999999996"/>
    <n v="1086.7880540000001"/>
    <x v="2"/>
    <x v="3"/>
    <x v="0"/>
    <n v="1"/>
    <x v="0"/>
    <x v="1"/>
    <x v="0"/>
    <x v="0"/>
    <x v="0"/>
    <x v="1"/>
    <n v="0.92014261319806512"/>
    <n v="1.543242"/>
    <n v="13.0563"/>
    <n v="4.31494"/>
  </r>
  <r>
    <s v="./speclibm/l2d_assoc.2"/>
    <n v="1.14703"/>
    <n v="0.114302"/>
    <n v="0.70422399999999996"/>
    <n v="888.260266"/>
    <x v="2"/>
    <x v="1"/>
    <x v="0"/>
    <n v="1"/>
    <x v="0"/>
    <x v="0"/>
    <x v="0"/>
    <x v="0"/>
    <x v="0"/>
    <x v="1"/>
    <n v="1.1257961638914511"/>
    <n v="1.2613319999999999"/>
    <n v="10.7277"/>
    <n v="3.7820100000000001"/>
  </r>
  <r>
    <s v="./speclibm/l1d_assoc.4"/>
    <n v="1.22661"/>
    <n v="0.210316"/>
    <n v="0.70412799999999998"/>
    <n v="1011.7798309999999"/>
    <x v="2"/>
    <x v="5"/>
    <x v="0"/>
    <n v="1"/>
    <x v="0"/>
    <x v="0"/>
    <x v="2"/>
    <x v="0"/>
    <x v="0"/>
    <x v="1"/>
    <n v="0.98835731782836844"/>
    <n v="1.4369259999999999"/>
    <n v="11.603899999999999"/>
    <n v="4.2146999999999997"/>
  </r>
  <r>
    <s v="./speclibm/cacheline.128"/>
    <n v="1.1059399999999999"/>
    <n v="0.185393"/>
    <n v="0.49782100000000001"/>
    <n v="642.85268499999995"/>
    <x v="2"/>
    <x v="6"/>
    <x v="1"/>
    <n v="1"/>
    <x v="0"/>
    <x v="0"/>
    <x v="0"/>
    <x v="0"/>
    <x v="0"/>
    <x v="1"/>
    <n v="1.5555663425439377"/>
    <n v="1.2913329999999998"/>
    <n v="27.278600000000001"/>
    <n v="8.1870999999999992"/>
  </r>
  <r>
    <s v="./speclibm/l1d.16kB_l1i.16kB"/>
    <n v="0.72901800000000005"/>
    <n v="0.11130900000000001"/>
    <n v="0.70435599999999998"/>
    <n v="591.889364"/>
    <x v="2"/>
    <x v="3"/>
    <x v="0"/>
    <n v="1"/>
    <x v="2"/>
    <x v="3"/>
    <x v="0"/>
    <x v="0"/>
    <x v="0"/>
    <x v="1"/>
    <n v="1.6895049325468197"/>
    <n v="0.84032700000000005"/>
    <n v="8.2387999999999995"/>
    <n v="2.7204899999999999"/>
  </r>
  <r>
    <s v="./speclibm/l2_size.512kB"/>
    <n v="1.14703"/>
    <n v="0.114302"/>
    <n v="0.70422399999999996"/>
    <n v="888.260266"/>
    <x v="2"/>
    <x v="0"/>
    <x v="0"/>
    <n v="1"/>
    <x v="0"/>
    <x v="0"/>
    <x v="0"/>
    <x v="0"/>
    <x v="0"/>
    <x v="1"/>
    <n v="1.1257961638914511"/>
    <n v="1.2613319999999999"/>
    <n v="10.7277"/>
    <n v="3.7820100000000001"/>
  </r>
  <r>
    <s v="./speclibm/cacheline.64"/>
    <n v="1.14703"/>
    <n v="0.114302"/>
    <n v="0.70422399999999996"/>
    <n v="888.260266"/>
    <x v="2"/>
    <x v="6"/>
    <x v="0"/>
    <n v="1"/>
    <x v="0"/>
    <x v="0"/>
    <x v="0"/>
    <x v="0"/>
    <x v="0"/>
    <x v="1"/>
    <n v="1.1257961638914511"/>
    <n v="1.2613319999999999"/>
    <n v="10.7277"/>
    <n v="3.7820100000000001"/>
  </r>
  <r>
    <s v="./speclibm/l1d.128kB_l1i.32kB"/>
    <n v="1.4289400000000001"/>
    <n v="0.255716"/>
    <n v="0.704152"/>
    <n v="1186.253892"/>
    <x v="2"/>
    <x v="3"/>
    <x v="0"/>
    <n v="1"/>
    <x v="3"/>
    <x v="0"/>
    <x v="0"/>
    <x v="0"/>
    <x v="0"/>
    <x v="1"/>
    <n v="0.8429898580261096"/>
    <n v="1.6846560000000002"/>
    <n v="13.528"/>
    <n v="4.1447799999999999"/>
  </r>
  <r>
    <s v="./speclibm/l1d.16kB_l1i.64kB"/>
    <n v="1.13951"/>
    <n v="0.11126900000000001"/>
    <n v="0.70467299999999999"/>
    <n v="881.39018999999996"/>
    <x v="2"/>
    <x v="3"/>
    <x v="0"/>
    <n v="1"/>
    <x v="2"/>
    <x v="2"/>
    <x v="0"/>
    <x v="0"/>
    <x v="0"/>
    <x v="1"/>
    <n v="1.1345712844841171"/>
    <n v="1.2507790000000001"/>
    <n v="10.6753"/>
    <n v="3.7626900000000001"/>
  </r>
  <r>
    <s v="./speclibm/cacheline.32"/>
    <n v="0.84024299999999996"/>
    <n v="9.5982999999999999E-2"/>
    <n v="1.1660410000000001"/>
    <n v="1091.677668"/>
    <x v="2"/>
    <x v="6"/>
    <x v="2"/>
    <n v="1"/>
    <x v="0"/>
    <x v="0"/>
    <x v="0"/>
    <x v="0"/>
    <x v="0"/>
    <x v="1"/>
    <n v="0.91602130309401908"/>
    <n v="0.936226"/>
    <n v="8.6724599999999992"/>
    <n v="2.17171"/>
  </r>
  <r>
    <s v="./speclibm/l1d.64kB_l1i.64kB"/>
    <n v="1.55"/>
    <n v="0.21135799999999999"/>
    <n v="0.70417799999999997"/>
    <n v="1240.3095539999999"/>
    <x v="2"/>
    <x v="3"/>
    <x v="0"/>
    <n v="1"/>
    <x v="1"/>
    <x v="2"/>
    <x v="0"/>
    <x v="0"/>
    <x v="0"/>
    <x v="1"/>
    <n v="0.80625034030819054"/>
    <n v="1.761358"/>
    <n v="13.355399999999999"/>
    <n v="4.6785699999999997"/>
  </r>
  <r>
    <s v="./speclibm/l1d.128kB_l1i.64kB"/>
    <n v="1.83192"/>
    <n v="0.255718"/>
    <n v="0.704148"/>
    <n v="1470.006122"/>
    <x v="2"/>
    <x v="3"/>
    <x v="0"/>
    <n v="1"/>
    <x v="3"/>
    <x v="2"/>
    <x v="0"/>
    <x v="0"/>
    <x v="0"/>
    <x v="1"/>
    <n v="0.68026927577652629"/>
    <n v="2.0876380000000001"/>
    <n v="15.9169"/>
    <n v="5.1688700000000001"/>
  </r>
  <r>
    <s v="./speclibm/l2_size.1MB"/>
    <n v="1.14855"/>
    <n v="0.117018"/>
    <n v="0.70419299999999996"/>
    <n v="891.20412699999997"/>
    <x v="2"/>
    <x v="0"/>
    <x v="0"/>
    <n v="1"/>
    <x v="0"/>
    <x v="0"/>
    <x v="0"/>
    <x v="0"/>
    <x v="0"/>
    <x v="3"/>
    <n v="1.1220773891232216"/>
    <n v="1.265568"/>
    <n v="12.81"/>
    <n v="3.8508"/>
  </r>
  <r>
    <s v="./speclibm/l1d.16kB_l1i.128kB"/>
    <n v="1.4214199999999999"/>
    <n v="0.11131000000000001"/>
    <n v="0.70435000000000003"/>
    <n v="1079.5783750000001"/>
    <x v="2"/>
    <x v="3"/>
    <x v="0"/>
    <n v="1"/>
    <x v="2"/>
    <x v="1"/>
    <x v="0"/>
    <x v="0"/>
    <x v="0"/>
    <x v="1"/>
    <n v="0.92628754257883317"/>
    <n v="1.5327299999999999"/>
    <n v="13.0039"/>
    <n v="4.2956300000000001"/>
  </r>
  <r>
    <s v="./speclibm/l2_size.4MB"/>
    <n v="1.1553500000000001"/>
    <n v="0.125586"/>
    <n v="0.70394999999999996"/>
    <n v="901.71489699999995"/>
    <x v="2"/>
    <x v="0"/>
    <x v="0"/>
    <n v="1"/>
    <x v="0"/>
    <x v="0"/>
    <x v="0"/>
    <x v="0"/>
    <x v="0"/>
    <x v="4"/>
    <n v="1.1089979807664196"/>
    <n v="1.2809360000000001"/>
    <n v="21.516200000000001"/>
    <n v="4.0805100000000003"/>
  </r>
  <r>
    <s v="./specmcf/l2_size.256kB"/>
    <n v="1.1464399999999999"/>
    <n v="0.154082"/>
    <n v="0.110429"/>
    <n v="143.61534399999999"/>
    <x v="3"/>
    <x v="0"/>
    <x v="0"/>
    <n v="1"/>
    <x v="0"/>
    <x v="0"/>
    <x v="0"/>
    <x v="0"/>
    <x v="0"/>
    <x v="0"/>
    <n v="6.963044283067692"/>
    <n v="1.300522"/>
    <n v="10.182499999999999"/>
    <n v="3.7515200000000002"/>
  </r>
  <r>
    <s v="./specmcf/l2d_assoc.4"/>
    <n v="1.14703"/>
    <n v="0.154281"/>
    <n v="0.110208"/>
    <n v="143.414883"/>
    <x v="3"/>
    <x v="1"/>
    <x v="0"/>
    <n v="1"/>
    <x v="0"/>
    <x v="0"/>
    <x v="0"/>
    <x v="0"/>
    <x v="1"/>
    <x v="1"/>
    <n v="6.9727770164551188"/>
    <n v="1.3013110000000001"/>
    <n v="10.7264"/>
    <n v="3.7822800000000001"/>
  </r>
  <r>
    <s v="./specmcf/l1i_assoc.2"/>
    <n v="1.14927"/>
    <n v="0.154252"/>
    <n v="0.110232"/>
    <n v="143.68983700000001"/>
    <x v="3"/>
    <x v="2"/>
    <x v="0"/>
    <n v="1"/>
    <x v="0"/>
    <x v="0"/>
    <x v="0"/>
    <x v="1"/>
    <x v="0"/>
    <x v="1"/>
    <n v="6.9594344379414945"/>
    <n v="1.3035220000000001"/>
    <n v="10.7638"/>
    <n v="3.7873899999999998"/>
  </r>
  <r>
    <s v="./specmcf/l1d.64kB_l1i.128kB"/>
    <n v="1.83192"/>
    <n v="0.37742399999999998"/>
    <n v="0.109947"/>
    <n v="242.91074499999999"/>
    <x v="3"/>
    <x v="3"/>
    <x v="0"/>
    <n v="1"/>
    <x v="1"/>
    <x v="1"/>
    <x v="0"/>
    <x v="0"/>
    <x v="0"/>
    <x v="1"/>
    <n v="4.1167384341108502"/>
    <n v="2.2093439999999998"/>
    <n v="15.683999999999999"/>
    <n v="5.2115"/>
  </r>
  <r>
    <s v="./specmcf/l1d.16kB_l1i.32kB"/>
    <n v="0.73653299999999999"/>
    <n v="0.14941299999999999"/>
    <n v="0.11445"/>
    <n v="101.39652"/>
    <x v="3"/>
    <x v="3"/>
    <x v="0"/>
    <n v="1"/>
    <x v="2"/>
    <x v="0"/>
    <x v="0"/>
    <x v="0"/>
    <x v="0"/>
    <x v="1"/>
    <n v="9.8622714073421847"/>
    <n v="0.88594600000000001"/>
    <n v="8.2864199999999997"/>
    <n v="2.7385999999999999"/>
  </r>
  <r>
    <s v="./specmcf/cpu_clock.1GHz"/>
    <n v="1.14703"/>
    <n v="0.15427099999999999"/>
    <n v="0.110225"/>
    <n v="143.435903"/>
    <x v="3"/>
    <x v="4"/>
    <x v="0"/>
    <n v="1"/>
    <x v="0"/>
    <x v="0"/>
    <x v="0"/>
    <x v="0"/>
    <x v="0"/>
    <x v="1"/>
    <n v="6.9717551818250136"/>
    <n v="1.301301"/>
    <n v="10.7277"/>
    <n v="3.7820100000000001"/>
  </r>
  <r>
    <s v="./specmcf/l1d.32kB_l1i.64kB"/>
    <n v="1.14703"/>
    <n v="0.15427099999999999"/>
    <n v="0.110225"/>
    <n v="143.435903"/>
    <x v="3"/>
    <x v="3"/>
    <x v="0"/>
    <n v="1"/>
    <x v="0"/>
    <x v="2"/>
    <x v="0"/>
    <x v="0"/>
    <x v="0"/>
    <x v="1"/>
    <n v="6.9717551818250136"/>
    <n v="1.301301"/>
    <n v="10.7277"/>
    <n v="3.7820100000000001"/>
  </r>
  <r>
    <s v="./specmcf/l2d_assoc.1"/>
    <n v="1.1470199999999999"/>
    <n v="0.15416099999999999"/>
    <n v="0.110362"/>
    <n v="143.60093800000001"/>
    <x v="3"/>
    <x v="1"/>
    <x v="0"/>
    <n v="1"/>
    <x v="0"/>
    <x v="0"/>
    <x v="0"/>
    <x v="0"/>
    <x v="2"/>
    <x v="1"/>
    <n v="6.9637428134348252"/>
    <n v="1.3011809999999999"/>
    <n v="10.7286"/>
    <n v="3.7819699999999998"/>
  </r>
  <r>
    <s v="./specmcf/l1i_assoc.1"/>
    <n v="1.14703"/>
    <n v="0.15427099999999999"/>
    <n v="0.110225"/>
    <n v="143.435903"/>
    <x v="3"/>
    <x v="2"/>
    <x v="0"/>
    <n v="1"/>
    <x v="0"/>
    <x v="0"/>
    <x v="0"/>
    <x v="0"/>
    <x v="0"/>
    <x v="1"/>
    <n v="6.9717551818250136"/>
    <n v="1.301301"/>
    <n v="10.7277"/>
    <n v="3.7820100000000001"/>
  </r>
  <r>
    <s v="./specmcf/l1d.32kB_l1i.32kB"/>
    <n v="0.74404700000000001"/>
    <n v="0.15312700000000001"/>
    <n v="0.11278000000000001"/>
    <n v="101.183284"/>
    <x v="3"/>
    <x v="3"/>
    <x v="0"/>
    <n v="1"/>
    <x v="0"/>
    <x v="0"/>
    <x v="0"/>
    <x v="0"/>
    <x v="0"/>
    <x v="1"/>
    <n v="9.8830553868957249"/>
    <n v="0.89717400000000003"/>
    <n v="8.3388000000000009"/>
    <n v="2.7579199999999999"/>
  </r>
  <r>
    <s v="./specmcf/l1i_assoc.4"/>
    <n v="0.87417199999999995"/>
    <n v="0.15426200000000001"/>
    <n v="0.110224"/>
    <n v="113.358109"/>
    <x v="3"/>
    <x v="2"/>
    <x v="0"/>
    <n v="1"/>
    <x v="0"/>
    <x v="0"/>
    <x v="0"/>
    <x v="2"/>
    <x v="0"/>
    <x v="1"/>
    <n v="8.8216009319633226"/>
    <n v="1.0284339999999998"/>
    <n v="9.7305700000000002"/>
    <n v="3.4842"/>
  </r>
  <r>
    <s v="./specmcf/l1d.128kB_l1i.16kB"/>
    <n v="1.4214199999999999"/>
    <n v="0.381164"/>
    <n v="0.145347"/>
    <n v="262.00017700000001"/>
    <x v="3"/>
    <x v="3"/>
    <x v="0"/>
    <n v="1"/>
    <x v="3"/>
    <x v="3"/>
    <x v="0"/>
    <x v="0"/>
    <x v="0"/>
    <x v="1"/>
    <n v="3.8167913146104473"/>
    <n v="1.802584"/>
    <n v="13.480399999999999"/>
    <n v="4.1266699999999998"/>
  </r>
  <r>
    <s v="./specmcf/l1d_assoc.2"/>
    <n v="1.1473599999999999"/>
    <n v="0.16240199999999999"/>
    <n v="0.10981"/>
    <n v="143.82496499999999"/>
    <x v="3"/>
    <x v="5"/>
    <x v="0"/>
    <n v="1"/>
    <x v="0"/>
    <x v="0"/>
    <x v="1"/>
    <x v="0"/>
    <x v="0"/>
    <x v="1"/>
    <n v="6.9528958341828906"/>
    <n v="1.3097619999999999"/>
    <n v="10.764200000000001"/>
    <n v="3.8013499999999998"/>
  </r>
  <r>
    <s v="./specmcf/l1d.128kB_l1i.128kB"/>
    <n v="2.1138300000000001"/>
    <n v="0.473134"/>
    <n v="0.10975799999999999"/>
    <n v="283.93999500000001"/>
    <x v="3"/>
    <x v="3"/>
    <x v="0"/>
    <n v="1"/>
    <x v="3"/>
    <x v="1"/>
    <x v="0"/>
    <x v="0"/>
    <x v="0"/>
    <x v="1"/>
    <n v="3.5218708797962752"/>
    <n v="2.586964"/>
    <n v="18.2455"/>
    <n v="5.70181"/>
  </r>
  <r>
    <s v="./specmcf/l2_size.2MB"/>
    <n v="1.15062"/>
    <n v="0.155027"/>
    <n v="0.109768"/>
    <n v="143.31826000000001"/>
    <x v="3"/>
    <x v="0"/>
    <x v="0"/>
    <n v="1"/>
    <x v="0"/>
    <x v="0"/>
    <x v="0"/>
    <x v="0"/>
    <x v="0"/>
    <x v="2"/>
    <n v="6.9774779571005112"/>
    <n v="1.305647"/>
    <n v="16.329799999999999"/>
    <n v="3.9575200000000001"/>
  </r>
  <r>
    <s v="./specmcf/l1d_assoc.1"/>
    <n v="1.14703"/>
    <n v="0.15427099999999999"/>
    <n v="0.110225"/>
    <n v="143.435903"/>
    <x v="3"/>
    <x v="5"/>
    <x v="0"/>
    <n v="1"/>
    <x v="0"/>
    <x v="0"/>
    <x v="0"/>
    <x v="0"/>
    <x v="0"/>
    <x v="1"/>
    <n v="6.9717551818250136"/>
    <n v="1.301301"/>
    <n v="10.7277"/>
    <n v="3.7820100000000001"/>
  </r>
  <r>
    <s v="./specmcf/l1d.32kB_l1i.16kB"/>
    <n v="0.73653299999999999"/>
    <n v="0.14050699999999999"/>
    <n v="0.14570900000000001"/>
    <n v="127.792621"/>
    <x v="3"/>
    <x v="3"/>
    <x v="0"/>
    <n v="1"/>
    <x v="0"/>
    <x v="3"/>
    <x v="0"/>
    <x v="0"/>
    <x v="0"/>
    <x v="1"/>
    <n v="7.8251779498285741"/>
    <n v="0.87704000000000004"/>
    <n v="8.2911800000000007"/>
    <n v="2.7398099999999999"/>
  </r>
  <r>
    <s v="./specmcf/l1d.64kB_l1i.32kB"/>
    <n v="1.14703"/>
    <n v="0.37144700000000003"/>
    <n v="0.112426"/>
    <n v="170.716295"/>
    <x v="3"/>
    <x v="3"/>
    <x v="0"/>
    <n v="1"/>
    <x v="1"/>
    <x v="0"/>
    <x v="0"/>
    <x v="0"/>
    <x v="0"/>
    <x v="1"/>
    <n v="5.8576716417141084"/>
    <n v="1.5184770000000001"/>
    <n v="10.9665"/>
    <n v="3.6544699999999999"/>
  </r>
  <r>
    <s v="./specmcf/l1d.64kB_l1i.16kB"/>
    <n v="1.13951"/>
    <n v="0.30913400000000002"/>
    <n v="0.145458"/>
    <n v="210.716859"/>
    <x v="3"/>
    <x v="3"/>
    <x v="0"/>
    <n v="1"/>
    <x v="1"/>
    <x v="3"/>
    <x v="0"/>
    <x v="0"/>
    <x v="0"/>
    <x v="1"/>
    <n v="4.7457047563526942"/>
    <n v="1.448644"/>
    <n v="10.918900000000001"/>
    <n v="3.6363699999999999"/>
  </r>
  <r>
    <s v="./specmcf/l1d.32kB_l1i.128kB"/>
    <n v="1.4289400000000001"/>
    <n v="0.15426100000000001"/>
    <n v="0.110232"/>
    <n v="174.51941299999999"/>
    <x v="3"/>
    <x v="3"/>
    <x v="0"/>
    <n v="1"/>
    <x v="0"/>
    <x v="1"/>
    <x v="0"/>
    <x v="0"/>
    <x v="0"/>
    <x v="1"/>
    <n v="5.7300215649934607"/>
    <n v="1.5832010000000001"/>
    <n v="13.0563"/>
    <n v="4.31494"/>
  </r>
  <r>
    <s v="./specmcf/l2d_assoc.2"/>
    <n v="1.14703"/>
    <n v="0.15427099999999999"/>
    <n v="0.110225"/>
    <n v="143.435903"/>
    <x v="3"/>
    <x v="1"/>
    <x v="0"/>
    <n v="1"/>
    <x v="0"/>
    <x v="0"/>
    <x v="0"/>
    <x v="0"/>
    <x v="0"/>
    <x v="1"/>
    <n v="6.9717551818250136"/>
    <n v="1.301301"/>
    <n v="10.7277"/>
    <n v="3.7820100000000001"/>
  </r>
  <r>
    <s v="./specmcf/l1d_assoc.4"/>
    <n v="1.22661"/>
    <n v="0.32146400000000003"/>
    <n v="0.10976"/>
    <n v="169.91660200000001"/>
    <x v="3"/>
    <x v="5"/>
    <x v="0"/>
    <n v="1"/>
    <x v="0"/>
    <x v="0"/>
    <x v="2"/>
    <x v="0"/>
    <x v="0"/>
    <x v="1"/>
    <n v="5.8852401014940261"/>
    <n v="1.548074"/>
    <n v="11.603899999999999"/>
    <n v="4.2146999999999997"/>
  </r>
  <r>
    <s v="./specmcf/cacheline.128"/>
    <n v="1.1059399999999999"/>
    <n v="0.19298399999999999"/>
    <n v="0.10883"/>
    <n v="141.36189899999999"/>
    <x v="3"/>
    <x v="6"/>
    <x v="1"/>
    <n v="1"/>
    <x v="0"/>
    <x v="0"/>
    <x v="0"/>
    <x v="0"/>
    <x v="0"/>
    <x v="1"/>
    <n v="7.074041924125539"/>
    <n v="1.298924"/>
    <n v="27.278600000000001"/>
    <n v="8.1870999999999992"/>
  </r>
  <r>
    <s v="./specmcf/l1d.16kB_l1i.16kB"/>
    <n v="0.72901800000000005"/>
    <n v="0.137683"/>
    <n v="0.14724400000000001"/>
    <n v="127.616522"/>
    <x v="3"/>
    <x v="3"/>
    <x v="0"/>
    <n v="1"/>
    <x v="2"/>
    <x v="3"/>
    <x v="0"/>
    <x v="0"/>
    <x v="0"/>
    <x v="1"/>
    <n v="7.8359759718259667"/>
    <n v="0.86670100000000005"/>
    <n v="8.2387999999999995"/>
    <n v="2.7204899999999999"/>
  </r>
  <r>
    <s v="./specmcf/l2_size.512kB"/>
    <n v="1.14703"/>
    <n v="0.15427099999999999"/>
    <n v="0.110225"/>
    <n v="143.435903"/>
    <x v="3"/>
    <x v="0"/>
    <x v="0"/>
    <n v="1"/>
    <x v="0"/>
    <x v="0"/>
    <x v="0"/>
    <x v="0"/>
    <x v="0"/>
    <x v="1"/>
    <n v="6.9717551818250136"/>
    <n v="1.301301"/>
    <n v="10.7277"/>
    <n v="3.7820100000000001"/>
  </r>
  <r>
    <s v="./specmcf/cacheline.64"/>
    <n v="1.14703"/>
    <n v="0.15427099999999999"/>
    <n v="0.110225"/>
    <n v="143.435903"/>
    <x v="3"/>
    <x v="6"/>
    <x v="0"/>
    <n v="1"/>
    <x v="0"/>
    <x v="0"/>
    <x v="0"/>
    <x v="0"/>
    <x v="0"/>
    <x v="1"/>
    <n v="6.9717551818250136"/>
    <n v="1.301301"/>
    <n v="10.7277"/>
    <n v="3.7820100000000001"/>
  </r>
  <r>
    <s v="./specmcf/l1d.128kB_l1i.32kB"/>
    <n v="1.4289400000000001"/>
    <n v="0.46485700000000002"/>
    <n v="0.11228100000000001"/>
    <n v="212.63742099999999"/>
    <x v="3"/>
    <x v="3"/>
    <x v="0"/>
    <n v="1"/>
    <x v="3"/>
    <x v="0"/>
    <x v="0"/>
    <x v="0"/>
    <x v="0"/>
    <x v="1"/>
    <n v="4.7028410864708521"/>
    <n v="1.8937970000000002"/>
    <n v="13.528"/>
    <n v="4.1447799999999999"/>
  </r>
  <r>
    <s v="./specmcf/l1d.16kB_l1i.64kB"/>
    <n v="1.13951"/>
    <n v="0.15051400000000001"/>
    <n v="0.111843"/>
    <n v="144.28015400000001"/>
    <x v="3"/>
    <x v="3"/>
    <x v="0"/>
    <n v="1"/>
    <x v="2"/>
    <x v="2"/>
    <x v="0"/>
    <x v="0"/>
    <x v="0"/>
    <x v="1"/>
    <n v="6.9309601651797506"/>
    <n v="1.2900240000000001"/>
    <n v="10.6753"/>
    <n v="3.7626900000000001"/>
  </r>
  <r>
    <s v="./specmcf/cacheline.32"/>
    <n v="0.84024299999999996"/>
    <n v="0.1447"/>
    <n v="0.112946"/>
    <n v="111.245372"/>
    <x v="3"/>
    <x v="6"/>
    <x v="2"/>
    <n v="1"/>
    <x v="0"/>
    <x v="0"/>
    <x v="0"/>
    <x v="0"/>
    <x v="0"/>
    <x v="1"/>
    <n v="8.9891379930843325"/>
    <n v="0.9849429999999999"/>
    <n v="8.6724599999999992"/>
    <n v="2.17171"/>
  </r>
  <r>
    <s v="./specmcf/l1d.64kB_l1i.64kB"/>
    <n v="1.55"/>
    <n v="0.377467"/>
    <n v="0.109934"/>
    <n v="211.89415700000001"/>
    <x v="3"/>
    <x v="3"/>
    <x v="0"/>
    <n v="1"/>
    <x v="1"/>
    <x v="2"/>
    <x v="0"/>
    <x v="0"/>
    <x v="0"/>
    <x v="1"/>
    <n v="4.7193373057474162"/>
    <n v="1.927467"/>
    <n v="13.355399999999999"/>
    <n v="4.6785699999999997"/>
  </r>
  <r>
    <s v="./specmcf/l1d.128kB_l1i.64kB"/>
    <n v="1.83192"/>
    <n v="0.473103"/>
    <n v="0.109765"/>
    <n v="253.01085"/>
    <x v="3"/>
    <x v="3"/>
    <x v="0"/>
    <n v="1"/>
    <x v="3"/>
    <x v="2"/>
    <x v="0"/>
    <x v="0"/>
    <x v="0"/>
    <x v="1"/>
    <n v="3.9523996698165318"/>
    <n v="2.3050229999999998"/>
    <n v="15.9169"/>
    <n v="5.1688700000000001"/>
  </r>
  <r>
    <s v="./specmcf/l2_size.1MB"/>
    <n v="1.14855"/>
    <n v="0.154582"/>
    <n v="0.10997700000000001"/>
    <n v="143.314548"/>
    <x v="3"/>
    <x v="0"/>
    <x v="0"/>
    <n v="1"/>
    <x v="0"/>
    <x v="0"/>
    <x v="0"/>
    <x v="0"/>
    <x v="0"/>
    <x v="3"/>
    <n v="6.9776586812386974"/>
    <n v="1.303132"/>
    <n v="12.81"/>
    <n v="3.8508"/>
  </r>
  <r>
    <s v="./specmcf/l1d.16kB_l1i.128kB"/>
    <n v="1.4214199999999999"/>
    <n v="0.15052199999999999"/>
    <n v="0.111835"/>
    <n v="175.798134"/>
    <x v="3"/>
    <x v="3"/>
    <x v="0"/>
    <n v="1"/>
    <x v="2"/>
    <x v="1"/>
    <x v="0"/>
    <x v="0"/>
    <x v="0"/>
    <x v="1"/>
    <n v="5.688342516764143"/>
    <n v="1.571942"/>
    <n v="13.0039"/>
    <n v="4.2956300000000001"/>
  </r>
  <r>
    <s v="./specmcf/l2_size.4MB"/>
    <n v="1.1553500000000001"/>
    <n v="0.15540799999999999"/>
    <n v="0.109752"/>
    <n v="143.85831200000001"/>
    <x v="3"/>
    <x v="0"/>
    <x v="0"/>
    <n v="1"/>
    <x v="0"/>
    <x v="0"/>
    <x v="0"/>
    <x v="0"/>
    <x v="0"/>
    <x v="4"/>
    <n v="6.9512841218378814"/>
    <n v="1.3107580000000001"/>
    <n v="21.516200000000001"/>
    <n v="4.0805100000000003"/>
  </r>
  <r>
    <s v="./specsjeng/l2_size.256kB"/>
    <n v="1.1464399999999999"/>
    <n v="0.142624"/>
    <n v="0.123334"/>
    <n v="158.98541900000001"/>
    <x v="4"/>
    <x v="0"/>
    <x v="0"/>
    <n v="1"/>
    <x v="0"/>
    <x v="0"/>
    <x v="0"/>
    <x v="0"/>
    <x v="0"/>
    <x v="0"/>
    <n v="6.2898849862451849"/>
    <n v="1.289064"/>
    <n v="10.182499999999999"/>
    <n v="3.7515200000000002"/>
  </r>
  <r>
    <s v="./specsjeng/l2d_assoc.4"/>
    <n v="1.14703"/>
    <n v="0.143376"/>
    <n v="0.12323000000000001"/>
    <n v="159.01673099999999"/>
    <x v="4"/>
    <x v="1"/>
    <x v="0"/>
    <n v="1"/>
    <x v="0"/>
    <x v="0"/>
    <x v="0"/>
    <x v="0"/>
    <x v="1"/>
    <x v="1"/>
    <n v="6.2886464443794914"/>
    <n v="1.2904059999999999"/>
    <n v="10.7264"/>
    <n v="3.7822800000000001"/>
  </r>
  <r>
    <s v="./specsjeng/l1i_assoc.2"/>
    <n v="1.14927"/>
    <n v="0.14335100000000001"/>
    <n v="0.12322900000000001"/>
    <n v="159.28839300000001"/>
    <x v="4"/>
    <x v="2"/>
    <x v="0"/>
    <n v="1"/>
    <x v="0"/>
    <x v="0"/>
    <x v="0"/>
    <x v="1"/>
    <x v="0"/>
    <x v="1"/>
    <n v="6.2779213297732239"/>
    <n v="1.292621"/>
    <n v="10.7638"/>
    <n v="3.7873899999999998"/>
  </r>
  <r>
    <s v="./specsjeng/l1d.64kB_l1i.128kB"/>
    <n v="1.83192"/>
    <n v="0.39530100000000001"/>
    <n v="0.120848"/>
    <n v="269.15520299999997"/>
    <x v="4"/>
    <x v="3"/>
    <x v="0"/>
    <n v="1"/>
    <x v="1"/>
    <x v="1"/>
    <x v="0"/>
    <x v="0"/>
    <x v="0"/>
    <x v="1"/>
    <n v="3.7153285125236835"/>
    <n v="2.2272210000000001"/>
    <n v="15.683999999999999"/>
    <n v="5.2115"/>
  </r>
  <r>
    <s v="./specsjeng/l1d.16kB_l1i.32kB"/>
    <n v="0.73653299999999999"/>
    <n v="0.13977600000000001"/>
    <n v="0.12598300000000001"/>
    <n v="110.400037"/>
    <x v="4"/>
    <x v="3"/>
    <x v="0"/>
    <n v="1"/>
    <x v="2"/>
    <x v="0"/>
    <x v="0"/>
    <x v="0"/>
    <x v="0"/>
    <x v="1"/>
    <n v="9.0579679787607326"/>
    <n v="0.876309"/>
    <n v="8.2864199999999997"/>
    <n v="2.7385999999999999"/>
  </r>
  <r>
    <s v="./specsjeng/cpu_clock.1GHz"/>
    <n v="1.14703"/>
    <n v="0.14335200000000001"/>
    <n v="0.123239"/>
    <n v="159.02538699999999"/>
    <x v="4"/>
    <x v="4"/>
    <x v="0"/>
    <n v="1"/>
    <x v="0"/>
    <x v="0"/>
    <x v="0"/>
    <x v="0"/>
    <x v="0"/>
    <x v="1"/>
    <n v="6.2883041435390439"/>
    <n v="1.2903819999999999"/>
    <n v="10.7277"/>
    <n v="3.7820100000000001"/>
  </r>
  <r>
    <s v="./specsjeng/l1d.32kB_l1i.64kB"/>
    <n v="1.14703"/>
    <n v="0.14335200000000001"/>
    <n v="0.123239"/>
    <n v="159.02538699999999"/>
    <x v="4"/>
    <x v="3"/>
    <x v="0"/>
    <n v="1"/>
    <x v="0"/>
    <x v="2"/>
    <x v="0"/>
    <x v="0"/>
    <x v="0"/>
    <x v="1"/>
    <n v="6.2883041435390439"/>
    <n v="1.2903819999999999"/>
    <n v="10.7277"/>
    <n v="3.7820100000000001"/>
  </r>
  <r>
    <s v="./specsjeng/l2d_assoc.1"/>
    <n v="1.1470199999999999"/>
    <n v="0.14333399999999999"/>
    <n v="0.12327100000000001"/>
    <n v="159.06322800000001"/>
    <x v="4"/>
    <x v="1"/>
    <x v="0"/>
    <n v="1"/>
    <x v="0"/>
    <x v="0"/>
    <x v="0"/>
    <x v="0"/>
    <x v="2"/>
    <x v="1"/>
    <n v="6.2868081615947089"/>
    <n v="1.290354"/>
    <n v="10.7286"/>
    <n v="3.7819699999999998"/>
  </r>
  <r>
    <s v="./specsjeng/l1i_assoc.1"/>
    <n v="1.14703"/>
    <n v="0.14335200000000001"/>
    <n v="0.123239"/>
    <n v="159.02538699999999"/>
    <x v="4"/>
    <x v="2"/>
    <x v="0"/>
    <n v="1"/>
    <x v="0"/>
    <x v="0"/>
    <x v="0"/>
    <x v="0"/>
    <x v="0"/>
    <x v="1"/>
    <n v="6.2883041435390439"/>
    <n v="1.2903819999999999"/>
    <n v="10.7277"/>
    <n v="3.7820100000000001"/>
  </r>
  <r>
    <s v="./specsjeng/l1d.32kB_l1i.32kB"/>
    <n v="0.74404700000000001"/>
    <n v="0.14335700000000001"/>
    <n v="0.123333"/>
    <n v="109.446198"/>
    <x v="4"/>
    <x v="3"/>
    <x v="0"/>
    <n v="1"/>
    <x v="0"/>
    <x v="0"/>
    <x v="0"/>
    <x v="0"/>
    <x v="0"/>
    <x v="1"/>
    <n v="9.1369094429392597"/>
    <n v="0.88740400000000008"/>
    <n v="8.3388000000000009"/>
    <n v="2.7579199999999999"/>
  </r>
  <r>
    <s v="./specsjeng/l1i_assoc.4"/>
    <n v="0.87417199999999995"/>
    <n v="0.143348"/>
    <n v="0.123226"/>
    <n v="125.38491999999999"/>
    <x v="4"/>
    <x v="2"/>
    <x v="0"/>
    <n v="1"/>
    <x v="0"/>
    <x v="0"/>
    <x v="0"/>
    <x v="2"/>
    <x v="0"/>
    <x v="1"/>
    <n v="7.975440746781989"/>
    <n v="1.01752"/>
    <n v="9.7305700000000002"/>
    <n v="3.4842"/>
  </r>
  <r>
    <s v="./specsjeng/l1d.128kB_l1i.16kB"/>
    <n v="1.4214199999999999"/>
    <n v="0.50389499999999998"/>
    <n v="0.119185"/>
    <n v="229.46866800000001"/>
    <x v="4"/>
    <x v="3"/>
    <x v="0"/>
    <n v="1"/>
    <x v="3"/>
    <x v="3"/>
    <x v="0"/>
    <x v="0"/>
    <x v="0"/>
    <x v="1"/>
    <n v="4.3578934270887038"/>
    <n v="1.9253149999999999"/>
    <n v="13.480399999999999"/>
    <n v="4.1266699999999998"/>
  </r>
  <r>
    <s v="./specsjeng/l1d_assoc.2"/>
    <n v="1.1473599999999999"/>
    <n v="0.15615899999999999"/>
    <n v="0.1188"/>
    <n v="154.858057"/>
    <x v="4"/>
    <x v="5"/>
    <x v="0"/>
    <n v="1"/>
    <x v="0"/>
    <x v="0"/>
    <x v="1"/>
    <x v="0"/>
    <x v="0"/>
    <x v="1"/>
    <n v="6.4575264559854313"/>
    <n v="1.3035189999999999"/>
    <n v="10.764200000000001"/>
    <n v="3.8013499999999998"/>
  </r>
  <r>
    <s v="./specsjeng/l1d.128kB_l1i.128kB"/>
    <n v="2.1138300000000001"/>
    <n v="0.50487800000000005"/>
    <n v="0.11888600000000001"/>
    <n v="311.327719"/>
    <x v="4"/>
    <x v="3"/>
    <x v="0"/>
    <n v="1"/>
    <x v="3"/>
    <x v="1"/>
    <x v="0"/>
    <x v="0"/>
    <x v="0"/>
    <x v="1"/>
    <n v="3.2120493581877301"/>
    <n v="2.6187080000000003"/>
    <n v="18.2455"/>
    <n v="5.70181"/>
  </r>
  <r>
    <s v="./specsjeng/l2_size.2MB"/>
    <n v="1.15062"/>
    <n v="0.14674799999999999"/>
    <n v="0.123228"/>
    <n v="159.87206399999999"/>
    <x v="4"/>
    <x v="0"/>
    <x v="0"/>
    <n v="1"/>
    <x v="0"/>
    <x v="0"/>
    <x v="0"/>
    <x v="0"/>
    <x v="0"/>
    <x v="2"/>
    <n v="6.2550014991987588"/>
    <n v="1.2973680000000001"/>
    <n v="16.329799999999999"/>
    <n v="3.9575200000000001"/>
  </r>
  <r>
    <s v="./specsjeng/l1d_assoc.1"/>
    <n v="1.14703"/>
    <n v="0.14335200000000001"/>
    <n v="0.123239"/>
    <n v="159.02538699999999"/>
    <x v="4"/>
    <x v="5"/>
    <x v="0"/>
    <n v="1"/>
    <x v="0"/>
    <x v="0"/>
    <x v="0"/>
    <x v="0"/>
    <x v="0"/>
    <x v="1"/>
    <n v="6.2883041435390439"/>
    <n v="1.2903819999999999"/>
    <n v="10.7277"/>
    <n v="3.7820100000000001"/>
  </r>
  <r>
    <s v="./specsjeng/l1d.32kB_l1i.16kB"/>
    <n v="0.73653299999999999"/>
    <n v="0.14332"/>
    <n v="0.123497"/>
    <n v="108.659206"/>
    <x v="4"/>
    <x v="3"/>
    <x v="0"/>
    <n v="1"/>
    <x v="0"/>
    <x v="3"/>
    <x v="0"/>
    <x v="0"/>
    <x v="0"/>
    <x v="1"/>
    <n v="9.2030858388565804"/>
    <n v="0.879853"/>
    <n v="8.2911800000000007"/>
    <n v="2.7398099999999999"/>
  </r>
  <r>
    <s v="./specsjeng/l1d.64kB_l1i.32kB"/>
    <n v="1.14703"/>
    <n v="0.39501799999999998"/>
    <n v="0.120972"/>
    <n v="186.54463100000001"/>
    <x v="4"/>
    <x v="3"/>
    <x v="0"/>
    <n v="1"/>
    <x v="1"/>
    <x v="0"/>
    <x v="0"/>
    <x v="0"/>
    <x v="0"/>
    <x v="1"/>
    <n v="5.3606474474197006"/>
    <n v="1.5420479999999999"/>
    <n v="10.9665"/>
    <n v="3.6544699999999999"/>
  </r>
  <r>
    <s v="./specsjeng/l1d.64kB_l1i.16kB"/>
    <n v="1.13951"/>
    <n v="0.39460400000000001"/>
    <n v="0.121147"/>
    <n v="185.853309"/>
    <x v="4"/>
    <x v="3"/>
    <x v="0"/>
    <n v="1"/>
    <x v="1"/>
    <x v="3"/>
    <x v="0"/>
    <x v="0"/>
    <x v="0"/>
    <x v="1"/>
    <n v="5.3805875471391253"/>
    <n v="1.534114"/>
    <n v="10.918900000000001"/>
    <n v="3.6363699999999999"/>
  </r>
  <r>
    <s v="./specsjeng/l1d.32kB_l1i.128kB"/>
    <n v="1.4289400000000001"/>
    <n v="0.14335700000000001"/>
    <n v="0.123234"/>
    <n v="193.760448"/>
    <x v="4"/>
    <x v="3"/>
    <x v="0"/>
    <n v="1"/>
    <x v="0"/>
    <x v="1"/>
    <x v="0"/>
    <x v="0"/>
    <x v="0"/>
    <x v="1"/>
    <n v="5.161012014175359"/>
    <n v="1.5722970000000001"/>
    <n v="13.0563"/>
    <n v="4.31494"/>
  </r>
  <r>
    <s v="./specsjeng/l2d_assoc.2"/>
    <n v="1.14703"/>
    <n v="0.14335200000000001"/>
    <n v="0.123239"/>
    <n v="159.02538699999999"/>
    <x v="4"/>
    <x v="1"/>
    <x v="0"/>
    <n v="1"/>
    <x v="0"/>
    <x v="0"/>
    <x v="0"/>
    <x v="0"/>
    <x v="0"/>
    <x v="1"/>
    <n v="6.2883041435390439"/>
    <n v="1.2903819999999999"/>
    <n v="10.7277"/>
    <n v="3.7820100000000001"/>
  </r>
  <r>
    <s v="./specsjeng/l1d_assoc.4"/>
    <n v="1.22661"/>
    <n v="0.30821399999999999"/>
    <n v="0.118509"/>
    <n v="181.890457"/>
    <x v="4"/>
    <x v="5"/>
    <x v="0"/>
    <n v="1"/>
    <x v="0"/>
    <x v="0"/>
    <x v="2"/>
    <x v="0"/>
    <x v="0"/>
    <x v="1"/>
    <n v="5.4978145444980662"/>
    <n v="1.534824"/>
    <n v="11.603899999999999"/>
    <n v="4.2146999999999997"/>
  </r>
  <r>
    <s v="./specsjeng/cacheline.128"/>
    <n v="1.1059399999999999"/>
    <n v="0.19983600000000001"/>
    <n v="0.124304"/>
    <n v="162.31317999999999"/>
    <x v="4"/>
    <x v="6"/>
    <x v="1"/>
    <n v="1"/>
    <x v="0"/>
    <x v="0"/>
    <x v="0"/>
    <x v="0"/>
    <x v="0"/>
    <x v="1"/>
    <n v="6.1609291371162831"/>
    <n v="1.3057759999999998"/>
    <n v="27.278600000000001"/>
    <n v="8.1870999999999992"/>
  </r>
  <r>
    <s v="./specsjeng/l1d.16kB_l1i.16kB"/>
    <n v="0.72901800000000005"/>
    <n v="0.13974900000000001"/>
    <n v="0.12614400000000001"/>
    <n v="109.589744"/>
    <x v="4"/>
    <x v="3"/>
    <x v="0"/>
    <n v="1"/>
    <x v="2"/>
    <x v="3"/>
    <x v="0"/>
    <x v="0"/>
    <x v="0"/>
    <x v="1"/>
    <n v="9.1249414726253946"/>
    <n v="0.86876700000000007"/>
    <n v="8.2387999999999995"/>
    <n v="2.7204899999999999"/>
  </r>
  <r>
    <s v="./specsjeng/l2_size.512kB"/>
    <n v="1.14703"/>
    <n v="0.14335200000000001"/>
    <n v="0.123239"/>
    <n v="159.02538699999999"/>
    <x v="4"/>
    <x v="0"/>
    <x v="0"/>
    <n v="1"/>
    <x v="0"/>
    <x v="0"/>
    <x v="0"/>
    <x v="0"/>
    <x v="0"/>
    <x v="1"/>
    <n v="6.2883041435390439"/>
    <n v="1.2903819999999999"/>
    <n v="10.7277"/>
    <n v="3.7820100000000001"/>
  </r>
  <r>
    <s v="./specsjeng/cacheline.64"/>
    <n v="1.14703"/>
    <n v="0.14335200000000001"/>
    <n v="0.123239"/>
    <n v="159.02538699999999"/>
    <x v="4"/>
    <x v="6"/>
    <x v="0"/>
    <n v="1"/>
    <x v="0"/>
    <x v="0"/>
    <x v="0"/>
    <x v="0"/>
    <x v="0"/>
    <x v="1"/>
    <n v="6.2883041435390439"/>
    <n v="1.2903819999999999"/>
    <n v="10.7277"/>
    <n v="3.7820100000000001"/>
  </r>
  <r>
    <s v="./specsjeng/l1d.128kB_l1i.32kB"/>
    <n v="1.4289400000000001"/>
    <n v="0.50446500000000005"/>
    <n v="0.11901299999999999"/>
    <n v="230.10032899999999"/>
    <x v="4"/>
    <x v="3"/>
    <x v="0"/>
    <n v="1"/>
    <x v="3"/>
    <x v="0"/>
    <x v="0"/>
    <x v="0"/>
    <x v="0"/>
    <x v="1"/>
    <n v="4.3459303354581467"/>
    <n v="1.933405"/>
    <n v="13.528"/>
    <n v="4.1447799999999999"/>
  </r>
  <r>
    <s v="./specsjeng/l1d.16kB_l1i.64kB"/>
    <n v="1.13951"/>
    <n v="0.13974700000000001"/>
    <n v="0.125912"/>
    <n v="161.07380699999999"/>
    <x v="4"/>
    <x v="3"/>
    <x v="0"/>
    <n v="1"/>
    <x v="2"/>
    <x v="2"/>
    <x v="0"/>
    <x v="0"/>
    <x v="0"/>
    <x v="1"/>
    <n v="6.2083340465157075"/>
    <n v="1.2792570000000001"/>
    <n v="10.6753"/>
    <n v="3.7626900000000001"/>
  </r>
  <r>
    <s v="./specsjeng/cacheline.32"/>
    <n v="0.84024299999999996"/>
    <n v="0.134912"/>
    <n v="0.122532"/>
    <n v="119.487692"/>
    <x v="4"/>
    <x v="6"/>
    <x v="2"/>
    <n v="1"/>
    <x v="0"/>
    <x v="0"/>
    <x v="0"/>
    <x v="0"/>
    <x v="0"/>
    <x v="1"/>
    <n v="8.3690628152730575"/>
    <n v="0.97515499999999999"/>
    <n v="8.6724599999999992"/>
    <n v="2.17171"/>
  </r>
  <r>
    <s v="./specsjeng/l1d.64kB_l1i.64kB"/>
    <n v="1.55"/>
    <n v="0.39528200000000002"/>
    <n v="0.120854"/>
    <n v="235.095111"/>
    <x v="4"/>
    <x v="3"/>
    <x v="0"/>
    <n v="1"/>
    <x v="1"/>
    <x v="2"/>
    <x v="0"/>
    <x v="0"/>
    <x v="0"/>
    <x v="1"/>
    <n v="4.253597600334615"/>
    <n v="1.9452820000000002"/>
    <n v="13.355399999999999"/>
    <n v="4.6785699999999997"/>
  </r>
  <r>
    <s v="./specsjeng/l1d.128kB_l1i.64kB"/>
    <n v="1.83192"/>
    <n v="0.50486399999999998"/>
    <n v="0.11889"/>
    <n v="277.82024999999999"/>
    <x v="4"/>
    <x v="3"/>
    <x v="0"/>
    <n v="1"/>
    <x v="3"/>
    <x v="2"/>
    <x v="0"/>
    <x v="0"/>
    <x v="0"/>
    <x v="1"/>
    <n v="3.5994496441494097"/>
    <n v="2.3367839999999998"/>
    <n v="15.9169"/>
    <n v="5.1688700000000001"/>
  </r>
  <r>
    <s v="./specsjeng/l2_size.1MB"/>
    <n v="1.14855"/>
    <n v="0.14468800000000001"/>
    <n v="0.123228"/>
    <n v="159.36313200000001"/>
    <x v="4"/>
    <x v="0"/>
    <x v="0"/>
    <n v="1"/>
    <x v="0"/>
    <x v="0"/>
    <x v="0"/>
    <x v="0"/>
    <x v="0"/>
    <x v="3"/>
    <n v="6.2749770756262491"/>
    <n v="1.2932379999999999"/>
    <n v="12.81"/>
    <n v="3.8508"/>
  </r>
  <r>
    <s v="./specsjeng/l1d.16kB_l1i.128kB"/>
    <n v="1.4214199999999999"/>
    <n v="0.13975199999999999"/>
    <n v="0.12590699999999999"/>
    <n v="196.56248299999999"/>
    <x v="4"/>
    <x v="3"/>
    <x v="0"/>
    <n v="1"/>
    <x v="2"/>
    <x v="1"/>
    <x v="0"/>
    <x v="0"/>
    <x v="0"/>
    <x v="1"/>
    <n v="5.087440821552911"/>
    <n v="1.561172"/>
    <n v="13.0039"/>
    <n v="4.2956300000000001"/>
  </r>
  <r>
    <s v="./specsjeng/l2_size.4MB"/>
    <n v="1.1553500000000001"/>
    <n v="0.149005"/>
    <n v="0.123228"/>
    <n v="160.733058"/>
    <x v="4"/>
    <x v="0"/>
    <x v="0"/>
    <n v="1"/>
    <x v="0"/>
    <x v="0"/>
    <x v="0"/>
    <x v="0"/>
    <x v="0"/>
    <x v="4"/>
    <n v="6.2214955183643674"/>
    <n v="1.3043550000000002"/>
    <n v="21.516200000000001"/>
    <n v="4.080510000000000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A66D60-DA92-4897-882B-4260BADB21F9}" name="PivotTable1" cacheId="2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D25" firstHeaderRow="0" firstDataRow="1" firstDataCol="1" rowPageCount="1" colPageCount="1"/>
  <pivotFields count="19">
    <pivotField showAll="0"/>
    <pivotField dataField="1" showAll="0"/>
    <pivotField dataField="1" showAll="0"/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6"/>
        <item x="4"/>
        <item x="5"/>
        <item x="3"/>
        <item x="2"/>
        <item x="0"/>
        <item x="1"/>
        <item t="default"/>
      </items>
    </pivotField>
    <pivotField axis="axisRow" showAll="0">
      <items count="4">
        <item x="2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2">
    <field x="5"/>
    <field x="7"/>
  </rowFields>
  <rowItems count="2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item="0" hier="-1"/>
  </pageFields>
  <dataFields count="3">
    <dataField name="Dynamic" fld="2" subtotal="average" baseField="7" baseItem="0"/>
    <dataField name="Leakage" fld="1" subtotal="average" baseField="7" baseItem="0"/>
    <dataField name="Total" fld="16" subtotal="average" baseField="7" baseItem="0"/>
  </dataFields>
  <chartFormats count="3"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4CE117-CCB4-4575-861F-C32CC585FA5B}" name="PivotTable1" cacheId="2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4">
  <location ref="A4:C25" firstHeaderRow="0" firstDataRow="1" firstDataCol="1" rowPageCount="1" colPageCount="1"/>
  <pivotFields count="19">
    <pivotField showAll="0"/>
    <pivotField showAll="0"/>
    <pivotField showAll="0"/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6"/>
        <item x="4"/>
        <item x="5"/>
        <item x="3"/>
        <item x="2"/>
        <item x="0"/>
        <item x="1"/>
        <item t="default"/>
      </items>
    </pivotField>
    <pivotField axis="axisRow" showAll="0">
      <items count="4">
        <item x="2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dataField="1" showAll="0"/>
  </pivotFields>
  <rowFields count="2">
    <field x="5"/>
    <field x="7"/>
  </rowFields>
  <rowItems count="2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Fields count="1">
    <field x="-2"/>
  </colFields>
  <colItems count="2">
    <i>
      <x/>
    </i>
    <i i="1">
      <x v="1"/>
    </i>
  </colItems>
  <pageFields count="1">
    <pageField fld="6" item="0" hier="-1"/>
  </pageFields>
  <dataFields count="2">
    <dataField name="Total" fld="16" subtotal="average" baseField="7" baseItem="0"/>
    <dataField name="Peak" fld="18" subtotal="average" baseField="0" baseItem="0"/>
  </dataFields>
  <chartFormats count="3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E805A8-461B-4E0B-A8EC-F96E1973E1CE}" name="PivotTable1" cacheId="2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4">
  <location ref="A4:B25" firstHeaderRow="1" firstDataRow="1" firstDataCol="1" rowPageCount="1" colPageCount="1"/>
  <pivotFields count="19">
    <pivotField showAll="0"/>
    <pivotField showAll="0"/>
    <pivotField showAll="0"/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6"/>
        <item x="4"/>
        <item x="5"/>
        <item x="3"/>
        <item x="2"/>
        <item x="0"/>
        <item x="1"/>
        <item t="default"/>
      </items>
    </pivotField>
    <pivotField axis="axisRow" showAll="0">
      <items count="4">
        <item x="2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2">
    <field x="5"/>
    <field x="7"/>
  </rowFields>
  <rowItems count="2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Items count="1">
    <i/>
  </colItems>
  <pageFields count="1">
    <pageField fld="6" item="0" hier="-1"/>
  </pageFields>
  <dataFields count="1">
    <dataField name="Average of Area [mm²]" fld="17" subtotal="average" baseField="0" baseItem="0"/>
  </dataFields>
  <chartFormats count="1">
    <chartFormat chart="1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F3519-84F9-444A-B077-89206B0B4D69}" name="PivotTable1" cacheId="2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8">
  <location ref="A4:B25" firstHeaderRow="1" firstDataRow="1" firstDataCol="1" rowPageCount="1" colPageCount="1"/>
  <pivotFields count="19">
    <pivotField showAll="0"/>
    <pivotField showAll="0"/>
    <pivotField showAll="0"/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6"/>
        <item x="4"/>
        <item x="5"/>
        <item x="3"/>
        <item x="2"/>
        <item x="0"/>
        <item x="1"/>
        <item t="default"/>
      </items>
    </pivotField>
    <pivotField axis="axisRow" showAll="0">
      <items count="4">
        <item x="2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</pivotFields>
  <rowFields count="2">
    <field x="5"/>
    <field x="7"/>
  </rowFields>
  <rowItems count="2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Items count="1">
    <i/>
  </colItems>
  <pageFields count="1">
    <pageField fld="6" item="0" hier="-1"/>
  </pageFields>
  <dataFields count="1">
    <dataField name="Average of Energy Efficiency" fld="15" subtotal="average" baseField="0" baseItem="0"/>
  </dataFields>
  <chartFormats count="12">
    <chartFormat chart="2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0">
      <pivotArea type="data" outline="0" fieldPosition="0">
        <references count="3">
          <reference field="4294967294" count="1" selected="0">
            <x v="0"/>
          </reference>
          <reference field="5" count="1" selected="0">
            <x v="1"/>
          </reference>
          <reference field="7" count="1" selected="0">
            <x v="2"/>
          </reference>
        </references>
      </pivotArea>
    </chartFormat>
    <chartFormat chart="2" format="11">
      <pivotArea type="data" outline="0" fieldPosition="0">
        <references count="3">
          <reference field="4294967294" count="1" selected="0">
            <x v="0"/>
          </reference>
          <reference field="5" count="1" selected="0">
            <x v="1"/>
          </reference>
          <reference field="7" count="1" selected="0">
            <x v="1"/>
          </reference>
        </references>
      </pivotArea>
    </chartFormat>
    <chartFormat chart="2" format="12">
      <pivotArea type="data" outline="0" fieldPosition="0">
        <references count="3">
          <reference field="4294967294" count="1" selected="0">
            <x v="0"/>
          </reference>
          <reference field="5" count="1" selected="0">
            <x v="1"/>
          </reference>
          <reference field="7" count="1" selected="0">
            <x v="0"/>
          </reference>
        </references>
      </pivotArea>
    </chartFormat>
    <chartFormat chart="6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4">
      <pivotArea type="data" outline="0" fieldPosition="0">
        <references count="3">
          <reference field="4294967294" count="1" selected="0">
            <x v="0"/>
          </reference>
          <reference field="5" count="1" selected="0">
            <x v="1"/>
          </reference>
          <reference field="7" count="1" selected="0">
            <x v="0"/>
          </reference>
        </references>
      </pivotArea>
    </chartFormat>
    <chartFormat chart="6" format="15">
      <pivotArea type="data" outline="0" fieldPosition="0">
        <references count="3">
          <reference field="4294967294" count="1" selected="0">
            <x v="0"/>
          </reference>
          <reference field="5" count="1" selected="0">
            <x v="1"/>
          </reference>
          <reference field="7" count="1" selected="0">
            <x v="1"/>
          </reference>
        </references>
      </pivotArea>
    </chartFormat>
    <chartFormat chart="6" format="16">
      <pivotArea type="data" outline="0" fieldPosition="0">
        <references count="3">
          <reference field="4294967294" count="1" selected="0">
            <x v="0"/>
          </reference>
          <reference field="5" count="1" selected="0">
            <x v="1"/>
          </reference>
          <reference field="7" count="1" selected="0">
            <x v="2"/>
          </reference>
        </references>
      </pivotArea>
    </chartFormat>
    <chartFormat chart="7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8">
      <pivotArea type="data" outline="0" fieldPosition="0">
        <references count="3">
          <reference field="4294967294" count="1" selected="0">
            <x v="0"/>
          </reference>
          <reference field="5" count="1" selected="0">
            <x v="1"/>
          </reference>
          <reference field="7" count="1" selected="0">
            <x v="0"/>
          </reference>
        </references>
      </pivotArea>
    </chartFormat>
    <chartFormat chart="7" format="19">
      <pivotArea type="data" outline="0" fieldPosition="0">
        <references count="3">
          <reference field="4294967294" count="1" selected="0">
            <x v="0"/>
          </reference>
          <reference field="5" count="1" selected="0">
            <x v="1"/>
          </reference>
          <reference field="7" count="1" selected="0">
            <x v="1"/>
          </reference>
        </references>
      </pivotArea>
    </chartFormat>
    <chartFormat chart="7" format="20">
      <pivotArea type="data" outline="0" fieldPosition="0">
        <references count="3">
          <reference field="4294967294" count="1" selected="0">
            <x v="0"/>
          </reference>
          <reference field="5" count="1" selected="0">
            <x v="1"/>
          </reference>
          <reference field="7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BAE9FF-9D39-4CC6-8E1B-8F21BFAA0C8F}" name="PivotTable1" cacheId="2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A4:F31" firstHeaderRow="1" firstDataRow="2" firstDataCol="1" rowPageCount="1" colPageCount="1"/>
  <pivotFields count="19">
    <pivotField showAll="0"/>
    <pivotField showAll="0"/>
    <pivotField showAll="0"/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6"/>
        <item x="4"/>
        <item x="5"/>
        <item x="3"/>
        <item x="2"/>
        <item x="0"/>
        <item x="1"/>
        <item t="default"/>
      </items>
    </pivotField>
    <pivotField showAll="0">
      <items count="4">
        <item x="2"/>
        <item x="0"/>
        <item x="1"/>
        <item t="default"/>
      </items>
    </pivotField>
    <pivotField showAll="0"/>
    <pivotField axis="axisCol" showAll="0">
      <items count="5">
        <item x="2"/>
        <item x="0"/>
        <item x="1"/>
        <item x="3"/>
        <item t="default"/>
      </items>
    </pivotField>
    <pivotField axis="axisRow" showAll="0">
      <items count="5">
        <item x="3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2">
    <field x="5"/>
    <field x="10"/>
  </rowFields>
  <rowItems count="26">
    <i>
      <x/>
    </i>
    <i r="1">
      <x/>
    </i>
    <i r="1">
      <x v="1"/>
    </i>
    <i r="1">
      <x v="2"/>
    </i>
    <i r="1">
      <x v="3"/>
    </i>
    <i>
      <x v="1"/>
    </i>
    <i r="1">
      <x/>
    </i>
    <i r="1">
      <x v="1"/>
    </i>
    <i r="1">
      <x v="2"/>
    </i>
    <i r="1">
      <x v="3"/>
    </i>
    <i>
      <x v="2"/>
    </i>
    <i r="1">
      <x/>
    </i>
    <i r="1">
      <x v="1"/>
    </i>
    <i r="1">
      <x v="2"/>
    </i>
    <i r="1">
      <x v="3"/>
    </i>
    <i>
      <x v="3"/>
    </i>
    <i r="1">
      <x/>
    </i>
    <i r="1">
      <x v="1"/>
    </i>
    <i r="1">
      <x v="2"/>
    </i>
    <i r="1">
      <x v="3"/>
    </i>
    <i>
      <x v="4"/>
    </i>
    <i r="1">
      <x/>
    </i>
    <i r="1">
      <x v="1"/>
    </i>
    <i r="1">
      <x v="2"/>
    </i>
    <i r="1">
      <x v="3"/>
    </i>
    <i t="grand">
      <x/>
    </i>
  </rowItems>
  <colFields count="1">
    <field x="9"/>
  </colFields>
  <colItems count="5">
    <i>
      <x/>
    </i>
    <i>
      <x v="1"/>
    </i>
    <i>
      <x v="2"/>
    </i>
    <i>
      <x v="3"/>
    </i>
    <i t="grand">
      <x/>
    </i>
  </colItems>
  <pageFields count="1">
    <pageField fld="6" item="3" hier="-1"/>
  </pageFields>
  <dataFields count="1">
    <dataField name="Total" fld="16" subtotal="average" baseField="7" baseItem="0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6FF35E-4E9B-46FE-8B54-DAB821560761}" name="PivotTable1" cacheId="2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A4:F31" firstHeaderRow="1" firstDataRow="2" firstDataCol="1" rowPageCount="1" colPageCount="1"/>
  <pivotFields count="19">
    <pivotField showAll="0"/>
    <pivotField showAll="0"/>
    <pivotField showAll="0"/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6"/>
        <item x="4"/>
        <item x="5"/>
        <item x="3"/>
        <item x="2"/>
        <item x="0"/>
        <item x="1"/>
        <item t="default"/>
      </items>
    </pivotField>
    <pivotField showAll="0">
      <items count="4">
        <item x="2"/>
        <item x="0"/>
        <item x="1"/>
        <item t="default"/>
      </items>
    </pivotField>
    <pivotField showAll="0"/>
    <pivotField axis="axisCol" showAll="0">
      <items count="5">
        <item x="2"/>
        <item x="0"/>
        <item x="1"/>
        <item x="3"/>
        <item t="default"/>
      </items>
    </pivotField>
    <pivotField axis="axisRow" showAll="0">
      <items count="5">
        <item x="3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2">
    <field x="5"/>
    <field x="10"/>
  </rowFields>
  <rowItems count="26">
    <i>
      <x/>
    </i>
    <i r="1">
      <x/>
    </i>
    <i r="1">
      <x v="1"/>
    </i>
    <i r="1">
      <x v="2"/>
    </i>
    <i r="1">
      <x v="3"/>
    </i>
    <i>
      <x v="1"/>
    </i>
    <i r="1">
      <x/>
    </i>
    <i r="1">
      <x v="1"/>
    </i>
    <i r="1">
      <x v="2"/>
    </i>
    <i r="1">
      <x v="3"/>
    </i>
    <i>
      <x v="2"/>
    </i>
    <i r="1">
      <x/>
    </i>
    <i r="1">
      <x v="1"/>
    </i>
    <i r="1">
      <x v="2"/>
    </i>
    <i r="1">
      <x v="3"/>
    </i>
    <i>
      <x v="3"/>
    </i>
    <i r="1">
      <x/>
    </i>
    <i r="1">
      <x v="1"/>
    </i>
    <i r="1">
      <x v="2"/>
    </i>
    <i r="1">
      <x v="3"/>
    </i>
    <i>
      <x v="4"/>
    </i>
    <i r="1">
      <x/>
    </i>
    <i r="1">
      <x v="1"/>
    </i>
    <i r="1">
      <x v="2"/>
    </i>
    <i r="1">
      <x v="3"/>
    </i>
    <i t="grand">
      <x/>
    </i>
  </rowItems>
  <colFields count="1">
    <field x="9"/>
  </colFields>
  <colItems count="5">
    <i>
      <x/>
    </i>
    <i>
      <x v="1"/>
    </i>
    <i>
      <x v="2"/>
    </i>
    <i>
      <x v="3"/>
    </i>
    <i t="grand">
      <x/>
    </i>
  </colItems>
  <pageFields count="1">
    <pageField fld="6" item="3" hier="-1"/>
  </pageFields>
  <dataFields count="1">
    <dataField name="Average of Area [mm²]" fld="17" subtotal="average" baseField="10" baseItem="1"/>
  </dataFields>
  <chartFormats count="4"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9A033C-2031-4B16-89B0-C4C147A043D1}" name="PivotTable1" cacheId="2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4">
  <location ref="A4:F31" firstHeaderRow="1" firstDataRow="2" firstDataCol="1" rowPageCount="1" colPageCount="1"/>
  <pivotFields count="19">
    <pivotField showAll="0"/>
    <pivotField showAll="0"/>
    <pivotField showAll="0"/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6"/>
        <item x="4"/>
        <item x="5"/>
        <item x="3"/>
        <item x="2"/>
        <item x="0"/>
        <item x="1"/>
        <item t="default"/>
      </items>
    </pivotField>
    <pivotField showAll="0">
      <items count="4">
        <item x="2"/>
        <item x="0"/>
        <item x="1"/>
        <item t="default"/>
      </items>
    </pivotField>
    <pivotField showAll="0"/>
    <pivotField axis="axisCol" showAll="0">
      <items count="5">
        <item x="2"/>
        <item x="0"/>
        <item x="1"/>
        <item x="3"/>
        <item t="default"/>
      </items>
    </pivotField>
    <pivotField axis="axisRow" showAll="0">
      <items count="5">
        <item x="3"/>
        <item x="0"/>
        <item x="2"/>
        <item x="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</pivotFields>
  <rowFields count="2">
    <field x="5"/>
    <field x="10"/>
  </rowFields>
  <rowItems count="26">
    <i>
      <x/>
    </i>
    <i r="1">
      <x/>
    </i>
    <i r="1">
      <x v="1"/>
    </i>
    <i r="1">
      <x v="2"/>
    </i>
    <i r="1">
      <x v="3"/>
    </i>
    <i>
      <x v="1"/>
    </i>
    <i r="1">
      <x/>
    </i>
    <i r="1">
      <x v="1"/>
    </i>
    <i r="1">
      <x v="2"/>
    </i>
    <i r="1">
      <x v="3"/>
    </i>
    <i>
      <x v="2"/>
    </i>
    <i r="1">
      <x/>
    </i>
    <i r="1">
      <x v="1"/>
    </i>
    <i r="1">
      <x v="2"/>
    </i>
    <i r="1">
      <x v="3"/>
    </i>
    <i>
      <x v="3"/>
    </i>
    <i r="1">
      <x/>
    </i>
    <i r="1">
      <x v="1"/>
    </i>
    <i r="1">
      <x v="2"/>
    </i>
    <i r="1">
      <x v="3"/>
    </i>
    <i>
      <x v="4"/>
    </i>
    <i r="1">
      <x/>
    </i>
    <i r="1">
      <x v="1"/>
    </i>
    <i r="1">
      <x v="2"/>
    </i>
    <i r="1">
      <x v="3"/>
    </i>
    <i t="grand">
      <x/>
    </i>
  </rowItems>
  <colFields count="1">
    <field x="9"/>
  </colFields>
  <colItems count="5">
    <i>
      <x/>
    </i>
    <i>
      <x v="1"/>
    </i>
    <i>
      <x v="2"/>
    </i>
    <i>
      <x v="3"/>
    </i>
    <i t="grand">
      <x/>
    </i>
  </colItems>
  <pageFields count="1">
    <pageField fld="6" item="3" hier="-1"/>
  </pageFields>
  <dataFields count="1">
    <dataField name="Average of Energy Efficiency" fld="15" subtotal="average" baseField="5" baseItem="0"/>
  </dataFields>
  <chartFormats count="4">
    <chartFormat chart="3" format="1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3" format="2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3" format="2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3" format="2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92F127-F3B0-4031-AB7A-EFE6A4DCC893}" name="PivotTable1" cacheId="2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A4:C25" firstHeaderRow="0" firstDataRow="1" firstDataCol="1" rowPageCount="1" colPageCount="1"/>
  <pivotFields count="19">
    <pivotField showAll="0"/>
    <pivotField showAll="0"/>
    <pivotField showAll="0"/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6"/>
        <item x="4"/>
        <item x="5"/>
        <item x="3"/>
        <item x="2"/>
        <item x="0"/>
        <item x="1"/>
        <item t="default"/>
      </items>
    </pivotField>
    <pivotField showAll="0">
      <items count="4">
        <item x="2"/>
        <item x="0"/>
        <item x="1"/>
        <item t="default"/>
      </items>
    </pivotField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dataField="1" showAll="0"/>
    <pivotField showAll="0"/>
    <pivotField dataField="1" showAll="0"/>
  </pivotFields>
  <rowFields count="2">
    <field x="5"/>
    <field x="11"/>
  </rowFields>
  <rowItems count="2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Fields count="1">
    <field x="-2"/>
  </colFields>
  <colItems count="2">
    <i>
      <x/>
    </i>
    <i i="1">
      <x v="1"/>
    </i>
  </colItems>
  <pageFields count="1">
    <pageField fld="6" item="2" hier="-1"/>
  </pageFields>
  <dataFields count="2">
    <dataField name="Total" fld="16" subtotal="average" baseField="7" baseItem="0"/>
    <dataField name="Peak" fld="18" subtotal="average" baseField="0" baseItem="0"/>
  </dataFields>
  <chartFormats count="5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9452E8-001C-427A-B851-8A9AD948ECB8}" name="PivotTable1" cacheId="2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A4:B25" firstHeaderRow="1" firstDataRow="1" firstDataCol="1" rowPageCount="1" colPageCount="1"/>
  <pivotFields count="19">
    <pivotField showAll="0"/>
    <pivotField showAll="0"/>
    <pivotField showAll="0"/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6"/>
        <item x="4"/>
        <item x="5"/>
        <item x="3"/>
        <item x="2"/>
        <item x="0"/>
        <item x="1"/>
        <item t="default"/>
      </items>
    </pivotField>
    <pivotField showAll="0">
      <items count="4">
        <item x="2"/>
        <item x="0"/>
        <item x="1"/>
        <item t="default"/>
      </items>
    </pivotField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</pivotFields>
  <rowFields count="2">
    <field x="5"/>
    <field x="11"/>
  </rowFields>
  <rowItems count="2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Items count="1">
    <i/>
  </colItems>
  <pageFields count="1">
    <pageField fld="6" item="2" hier="-1"/>
  </pageFields>
  <dataFields count="1">
    <dataField name="Average of Area [mm²]" fld="17" subtotal="average" baseField="0" baseItem="0"/>
  </dataFields>
  <chartFormats count="2">
    <chartFormat chart="1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A6ADAB-1ABA-40D0-803E-8F9B9809433F}" name="PivotTable1" cacheId="2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5">
  <location ref="A4:B25" firstHeaderRow="1" firstDataRow="1" firstDataCol="1" rowPageCount="1" colPageCount="1"/>
  <pivotFields count="19">
    <pivotField showAll="0"/>
    <pivotField showAll="0"/>
    <pivotField showAll="0"/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6"/>
        <item x="4"/>
        <item x="5"/>
        <item x="3"/>
        <item x="2"/>
        <item x="0"/>
        <item x="1"/>
        <item t="default"/>
      </items>
    </pivotField>
    <pivotField showAll="0">
      <items count="4">
        <item x="2"/>
        <item x="0"/>
        <item x="1"/>
        <item t="default"/>
      </items>
    </pivotField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</pivotFields>
  <rowFields count="2">
    <field x="5"/>
    <field x="11"/>
  </rowFields>
  <rowItems count="2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Items count="1">
    <i/>
  </colItems>
  <pageFields count="1">
    <pageField fld="6" item="2" hier="-1"/>
  </pageFields>
  <dataFields count="1">
    <dataField name="Average of Energy Efficiency" fld="15" subtotal="average" baseField="0" baseItem="0"/>
  </dataFields>
  <chartFormats count="5">
    <chartFormat chart="2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7">
      <pivotArea type="data" outline="0" fieldPosition="0">
        <references count="3">
          <reference field="4294967294" count="1" selected="0">
            <x v="0"/>
          </reference>
          <reference field="5" count="1" selected="0">
            <x v="1"/>
          </reference>
          <reference field="11" count="1" selected="0">
            <x v="2"/>
          </reference>
        </references>
      </pivotArea>
    </chartFormat>
    <chartFormat chart="4" format="18">
      <pivotArea type="data" outline="0" fieldPosition="0">
        <references count="3">
          <reference field="4294967294" count="1" selected="0">
            <x v="0"/>
          </reference>
          <reference field="5" count="1" selected="0">
            <x v="1"/>
          </reference>
          <reference field="11" count="1" selected="0">
            <x v="1"/>
          </reference>
        </references>
      </pivotArea>
    </chartFormat>
    <chartFormat chart="4" format="19">
      <pivotArea type="data" outline="0" fieldPosition="0">
        <references count="3">
          <reference field="4294967294" count="1" selected="0">
            <x v="0"/>
          </reference>
          <reference field="5" count="1" selected="0">
            <x v="1"/>
          </reference>
          <reference field="1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2183E3-EBD1-4D8D-9DAB-A7EF5A33924F}" name="PivotTable1" cacheId="2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4">
  <location ref="A4:C25" firstHeaderRow="0" firstDataRow="1" firstDataCol="1" rowPageCount="1" colPageCount="1"/>
  <pivotFields count="19">
    <pivotField showAll="0"/>
    <pivotField showAll="0"/>
    <pivotField showAll="0"/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6"/>
        <item x="4"/>
        <item x="5"/>
        <item x="3"/>
        <item x="2"/>
        <item x="0"/>
        <item x="1"/>
        <item t="default"/>
      </items>
    </pivotField>
    <pivotField showAll="0">
      <items count="4">
        <item x="2"/>
        <item x="0"/>
        <item x="1"/>
        <item t="default"/>
      </items>
    </pivotField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dataField="1" showAll="0"/>
    <pivotField showAll="0"/>
    <pivotField dataField="1" showAll="0"/>
  </pivotFields>
  <rowFields count="2">
    <field x="5"/>
    <field x="12"/>
  </rowFields>
  <rowItems count="2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Fields count="1">
    <field x="-2"/>
  </colFields>
  <colItems count="2">
    <i>
      <x/>
    </i>
    <i i="1">
      <x v="1"/>
    </i>
  </colItems>
  <pageFields count="1">
    <pageField fld="6" item="4" hier="-1"/>
  </pageFields>
  <dataFields count="2">
    <dataField name="Total" fld="16" subtotal="average" baseField="7" baseItem="0"/>
    <dataField name="Peak" fld="18" subtotal="average" baseField="0" baseItem="0"/>
  </dataFields>
  <chartFormats count="7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E8A066-CB22-4C34-ABE8-9CB0CE4CA62C}" name="PivotTable1" cacheId="2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4">
  <location ref="A4:B25" firstHeaderRow="1" firstDataRow="1" firstDataCol="1" rowPageCount="1" colPageCount="1"/>
  <pivotFields count="19">
    <pivotField showAll="0"/>
    <pivotField showAll="0"/>
    <pivotField showAll="0"/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6"/>
        <item x="4"/>
        <item x="5"/>
        <item x="3"/>
        <item x="2"/>
        <item x="0"/>
        <item x="1"/>
        <item t="default"/>
      </items>
    </pivotField>
    <pivotField showAll="0">
      <items count="4">
        <item x="2"/>
        <item x="0"/>
        <item x="1"/>
        <item t="default"/>
      </items>
    </pivotField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dataField="1" showAll="0"/>
    <pivotField showAll="0"/>
  </pivotFields>
  <rowFields count="2">
    <field x="5"/>
    <field x="12"/>
  </rowFields>
  <rowItems count="2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Items count="1">
    <i/>
  </colItems>
  <pageFields count="1">
    <pageField fld="6" item="4" hier="-1"/>
  </pageFields>
  <dataFields count="1">
    <dataField name="Average of Area [mm²]" fld="17" subtotal="average" baseField="0" baseItem="0"/>
  </dataFields>
  <chartFormats count="3">
    <chartFormat chart="1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34D0A5-A052-44C5-BBE8-4E4B94D5B1A1}" name="PivotTable1" cacheId="2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6">
  <location ref="A4:B25" firstHeaderRow="1" firstDataRow="1" firstDataCol="1" rowPageCount="1" colPageCount="1"/>
  <pivotFields count="19">
    <pivotField showAll="0"/>
    <pivotField showAll="0"/>
    <pivotField showAll="0"/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6"/>
        <item x="4"/>
        <item x="5"/>
        <item x="3"/>
        <item x="2"/>
        <item x="0"/>
        <item x="1"/>
        <item t="default"/>
      </items>
    </pivotField>
    <pivotField showAll="0">
      <items count="4">
        <item x="2"/>
        <item x="0"/>
        <item x="1"/>
        <item t="default"/>
      </items>
    </pivotField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showAll="0"/>
    <pivotField dataField="1" showAll="0"/>
    <pivotField showAll="0"/>
    <pivotField showAll="0"/>
    <pivotField showAll="0"/>
  </pivotFields>
  <rowFields count="2">
    <field x="5"/>
    <field x="12"/>
  </rowFields>
  <rowItems count="2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Items count="1">
    <i/>
  </colItems>
  <pageFields count="1">
    <pageField fld="6" item="4" hier="-1"/>
  </pageFields>
  <dataFields count="1">
    <dataField name="Average of Energy Efficiency" fld="15" subtotal="average" baseField="0" baseItem="0"/>
  </dataFields>
  <chartFormats count="6">
    <chartFormat chart="2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4">
      <pivotArea type="data" outline="0" fieldPosition="0">
        <references count="3">
          <reference field="4294967294" count="1" selected="0">
            <x v="0"/>
          </reference>
          <reference field="5" count="1" selected="0">
            <x v="1"/>
          </reference>
          <reference field="12" count="1" selected="0">
            <x v="2"/>
          </reference>
        </references>
      </pivotArea>
    </chartFormat>
    <chartFormat chart="5" format="25">
      <pivotArea type="data" outline="0" fieldPosition="0">
        <references count="3">
          <reference field="4294967294" count="1" selected="0">
            <x v="0"/>
          </reference>
          <reference field="5" count="1" selected="0">
            <x v="1"/>
          </reference>
          <reference field="12" count="1" selected="0">
            <x v="1"/>
          </reference>
        </references>
      </pivotArea>
    </chartFormat>
    <chartFormat chart="5" format="26">
      <pivotArea type="data" outline="0" fieldPosition="0">
        <references count="3">
          <reference field="4294967294" count="1" selected="0">
            <x v="0"/>
          </reference>
          <reference field="5" count="1" selected="0">
            <x v="1"/>
          </reference>
          <reference field="12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30B81A-12F8-46B3-BB13-FF97BCB87EE0}" name="PivotTable1" cacheId="2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4">
  <location ref="A4:C25" firstHeaderRow="0" firstDataRow="1" firstDataCol="1" rowPageCount="1" colPageCount="1"/>
  <pivotFields count="19">
    <pivotField showAll="0"/>
    <pivotField showAll="0"/>
    <pivotField showAll="0"/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6"/>
        <item x="4"/>
        <item x="5"/>
        <item x="3"/>
        <item x="2"/>
        <item x="0"/>
        <item x="1"/>
        <item t="default"/>
      </items>
    </pivotField>
    <pivotField showAll="0">
      <items count="4">
        <item x="2"/>
        <item x="0"/>
        <item x="1"/>
        <item t="default"/>
      </items>
    </pivotField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showAll="0"/>
    <pivotField axis="axisRow" showAll="0">
      <items count="4">
        <item x="2"/>
        <item x="0"/>
        <item x="1"/>
        <item t="default"/>
      </items>
    </pivotField>
    <pivotField showAll="0"/>
    <pivotField showAll="0"/>
    <pivotField dataField="1" showAll="0"/>
    <pivotField showAll="0"/>
    <pivotField dataField="1" showAll="0"/>
  </pivotFields>
  <rowFields count="2">
    <field x="5"/>
    <field x="13"/>
  </rowFields>
  <rowItems count="2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Fields count="1">
    <field x="-2"/>
  </colFields>
  <colItems count="2">
    <i>
      <x/>
    </i>
    <i i="1">
      <x v="1"/>
    </i>
  </colItems>
  <pageFields count="1">
    <pageField fld="6" item="6" hier="-1"/>
  </pageFields>
  <dataFields count="2">
    <dataField name="Total" fld="16" subtotal="average" baseField="7" baseItem="0"/>
    <dataField name="Peak" fld="18" subtotal="average" baseField="0" baseItem="0"/>
  </dataFields>
  <chartFormats count="7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72D6A5-64A0-4306-B7B8-536FB597900A}" name="PivotTable1" cacheId="2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4">
  <location ref="A4:B25" firstHeaderRow="1" firstDataRow="1" firstDataCol="1" rowPageCount="1" colPageCount="1"/>
  <pivotFields count="19">
    <pivotField showAll="0"/>
    <pivotField showAll="0"/>
    <pivotField showAll="0"/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6"/>
        <item x="4"/>
        <item x="5"/>
        <item x="3"/>
        <item x="2"/>
        <item x="0"/>
        <item x="1"/>
        <item t="default"/>
      </items>
    </pivotField>
    <pivotField showAll="0">
      <items count="4">
        <item x="2"/>
        <item x="0"/>
        <item x="1"/>
        <item t="default"/>
      </items>
    </pivotField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showAll="0"/>
    <pivotField axis="axisRow" showAll="0">
      <items count="4">
        <item x="2"/>
        <item x="0"/>
        <item x="1"/>
        <item t="default"/>
      </items>
    </pivotField>
    <pivotField showAll="0"/>
    <pivotField showAll="0"/>
    <pivotField showAll="0"/>
    <pivotField dataField="1" showAll="0"/>
    <pivotField showAll="0"/>
  </pivotFields>
  <rowFields count="2">
    <field x="5"/>
    <field x="13"/>
  </rowFields>
  <rowItems count="2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Items count="1">
    <i/>
  </colItems>
  <pageFields count="1">
    <pageField fld="6" item="6" hier="-1"/>
  </pageFields>
  <dataFields count="1">
    <dataField name="Average of Area [mm²]" fld="17" subtotal="average" baseField="0" baseItem="0"/>
  </dataFields>
  <chartFormats count="3">
    <chartFormat chart="1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0080FF-18F6-40ED-BB84-BD3612B3FB11}" name="PivotTable1" cacheId="2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6">
  <location ref="A4:B25" firstHeaderRow="1" firstDataRow="1" firstDataCol="1" rowPageCount="1" colPageCount="1"/>
  <pivotFields count="19">
    <pivotField showAll="0"/>
    <pivotField showAll="0"/>
    <pivotField showAll="0"/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6"/>
        <item x="4"/>
        <item x="5"/>
        <item x="3"/>
        <item x="2"/>
        <item x="0"/>
        <item x="1"/>
        <item t="default"/>
      </items>
    </pivotField>
    <pivotField showAll="0">
      <items count="4">
        <item x="2"/>
        <item x="0"/>
        <item x="1"/>
        <item t="default"/>
      </items>
    </pivotField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showAll="0"/>
    <pivotField axis="axisRow" showAll="0">
      <items count="4">
        <item x="2"/>
        <item x="0"/>
        <item x="1"/>
        <item t="default"/>
      </items>
    </pivotField>
    <pivotField showAll="0"/>
    <pivotField dataField="1" showAll="0"/>
    <pivotField showAll="0"/>
    <pivotField showAll="0"/>
    <pivotField showAll="0"/>
  </pivotFields>
  <rowFields count="2">
    <field x="5"/>
    <field x="13"/>
  </rowFields>
  <rowItems count="2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Items count="1">
    <i/>
  </colItems>
  <pageFields count="1">
    <pageField fld="6" item="6" hier="-1"/>
  </pageFields>
  <dataFields count="1">
    <dataField name="Average of Energy Efficiency" fld="15" subtotal="average" baseField="0" baseItem="0"/>
  </dataFields>
  <chartFormats count="6">
    <chartFormat chart="2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4">
      <pivotArea type="data" outline="0" fieldPosition="0">
        <references count="3">
          <reference field="4294967294" count="1" selected="0">
            <x v="0"/>
          </reference>
          <reference field="5" count="1" selected="0">
            <x v="1"/>
          </reference>
          <reference field="13" count="1" selected="0">
            <x v="2"/>
          </reference>
        </references>
      </pivotArea>
    </chartFormat>
    <chartFormat chart="5" format="25">
      <pivotArea type="data" outline="0" fieldPosition="0">
        <references count="3">
          <reference field="4294967294" count="1" selected="0">
            <x v="0"/>
          </reference>
          <reference field="5" count="1" selected="0">
            <x v="1"/>
          </reference>
          <reference field="13" count="1" selected="0">
            <x v="1"/>
          </reference>
        </references>
      </pivotArea>
    </chartFormat>
    <chartFormat chart="5" format="26">
      <pivotArea type="data" outline="0" fieldPosition="0">
        <references count="3">
          <reference field="4294967294" count="1" selected="0">
            <x v="0"/>
          </reference>
          <reference field="5" count="1" selected="0">
            <x v="1"/>
          </reference>
          <reference field="13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149383-2232-4D4B-84DC-0138CBEBA918}" name="PivotTable1" cacheId="2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5">
  <location ref="A4:C35" firstHeaderRow="0" firstDataRow="1" firstDataCol="1" rowPageCount="1" colPageCount="1"/>
  <pivotFields count="19">
    <pivotField showAll="0"/>
    <pivotField showAll="0"/>
    <pivotField showAll="0"/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6"/>
        <item x="4"/>
        <item x="5"/>
        <item x="3"/>
        <item x="2"/>
        <item x="0"/>
        <item x="1"/>
        <item t="default"/>
      </items>
    </pivotField>
    <pivotField showAll="0">
      <items count="4">
        <item x="2"/>
        <item x="0"/>
        <item x="1"/>
        <item t="default"/>
      </items>
    </pivotField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showAll="0"/>
    <pivotField showAll="0">
      <items count="4">
        <item x="2"/>
        <item x="0"/>
        <item x="1"/>
        <item t="default"/>
      </items>
    </pivotField>
    <pivotField axis="axisRow" showAll="0">
      <items count="6">
        <item x="0"/>
        <item x="1"/>
        <item x="3"/>
        <item x="2"/>
        <item x="4"/>
        <item t="default"/>
      </items>
    </pivotField>
    <pivotField showAll="0"/>
    <pivotField dataField="1" showAll="0"/>
    <pivotField showAll="0"/>
    <pivotField dataField="1" showAll="0"/>
  </pivotFields>
  <rowFields count="2">
    <field x="5"/>
    <field x="14"/>
  </rowFields>
  <rowItems count="31">
    <i>
      <x/>
    </i>
    <i r="1">
      <x/>
    </i>
    <i r="1">
      <x v="1"/>
    </i>
    <i r="1">
      <x v="2"/>
    </i>
    <i r="1">
      <x v="3"/>
    </i>
    <i r="1">
      <x v="4"/>
    </i>
    <i>
      <x v="1"/>
    </i>
    <i r="1">
      <x/>
    </i>
    <i r="1">
      <x v="1"/>
    </i>
    <i r="1">
      <x v="2"/>
    </i>
    <i r="1">
      <x v="3"/>
    </i>
    <i r="1">
      <x v="4"/>
    </i>
    <i>
      <x v="2"/>
    </i>
    <i r="1">
      <x/>
    </i>
    <i r="1">
      <x v="1"/>
    </i>
    <i r="1">
      <x v="2"/>
    </i>
    <i r="1">
      <x v="3"/>
    </i>
    <i r="1">
      <x v="4"/>
    </i>
    <i>
      <x v="3"/>
    </i>
    <i r="1">
      <x/>
    </i>
    <i r="1">
      <x v="1"/>
    </i>
    <i r="1">
      <x v="2"/>
    </i>
    <i r="1">
      <x v="3"/>
    </i>
    <i r="1">
      <x v="4"/>
    </i>
    <i>
      <x v="4"/>
    </i>
    <i r="1">
      <x/>
    </i>
    <i r="1">
      <x v="1"/>
    </i>
    <i r="1">
      <x v="2"/>
    </i>
    <i r="1">
      <x v="3"/>
    </i>
    <i r="1">
      <x v="4"/>
    </i>
    <i t="grand">
      <x/>
    </i>
  </rowItems>
  <colFields count="1">
    <field x="-2"/>
  </colFields>
  <colItems count="2">
    <i>
      <x/>
    </i>
    <i i="1">
      <x v="1"/>
    </i>
  </colItems>
  <pageFields count="1">
    <pageField fld="6" item="5" hier="-1"/>
  </pageFields>
  <dataFields count="2">
    <dataField name="Total" fld="16" subtotal="average" baseField="7" baseItem="0"/>
    <dataField name="Peak" fld="18" subtotal="average" baseField="0" baseItem="0"/>
  </dataFields>
  <chartFormats count="9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4E4E60-0136-4615-83B6-B621509DB1C7}" name="PivotTable1" cacheId="2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5">
  <location ref="A4:B35" firstHeaderRow="1" firstDataRow="1" firstDataCol="1" rowPageCount="1" colPageCount="1"/>
  <pivotFields count="19">
    <pivotField showAll="0"/>
    <pivotField showAll="0"/>
    <pivotField showAll="0"/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6"/>
        <item x="4"/>
        <item x="5"/>
        <item x="3"/>
        <item x="2"/>
        <item x="0"/>
        <item x="1"/>
        <item t="default"/>
      </items>
    </pivotField>
    <pivotField showAll="0">
      <items count="4">
        <item x="2"/>
        <item x="0"/>
        <item x="1"/>
        <item t="default"/>
      </items>
    </pivotField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showAll="0"/>
    <pivotField showAll="0">
      <items count="4">
        <item x="2"/>
        <item x="0"/>
        <item x="1"/>
        <item t="default"/>
      </items>
    </pivotField>
    <pivotField axis="axisRow" showAll="0">
      <items count="6">
        <item x="0"/>
        <item x="1"/>
        <item x="3"/>
        <item x="2"/>
        <item x="4"/>
        <item t="default"/>
      </items>
    </pivotField>
    <pivotField showAll="0"/>
    <pivotField showAll="0"/>
    <pivotField dataField="1" showAll="0"/>
    <pivotField showAll="0"/>
  </pivotFields>
  <rowFields count="2">
    <field x="5"/>
    <field x="14"/>
  </rowFields>
  <rowItems count="31">
    <i>
      <x/>
    </i>
    <i r="1">
      <x/>
    </i>
    <i r="1">
      <x v="1"/>
    </i>
    <i r="1">
      <x v="2"/>
    </i>
    <i r="1">
      <x v="3"/>
    </i>
    <i r="1">
      <x v="4"/>
    </i>
    <i>
      <x v="1"/>
    </i>
    <i r="1">
      <x/>
    </i>
    <i r="1">
      <x v="1"/>
    </i>
    <i r="1">
      <x v="2"/>
    </i>
    <i r="1">
      <x v="3"/>
    </i>
    <i r="1">
      <x v="4"/>
    </i>
    <i>
      <x v="2"/>
    </i>
    <i r="1">
      <x/>
    </i>
    <i r="1">
      <x v="1"/>
    </i>
    <i r="1">
      <x v="2"/>
    </i>
    <i r="1">
      <x v="3"/>
    </i>
    <i r="1">
      <x v="4"/>
    </i>
    <i>
      <x v="3"/>
    </i>
    <i r="1">
      <x/>
    </i>
    <i r="1">
      <x v="1"/>
    </i>
    <i r="1">
      <x v="2"/>
    </i>
    <i r="1">
      <x v="3"/>
    </i>
    <i r="1">
      <x v="4"/>
    </i>
    <i>
      <x v="4"/>
    </i>
    <i r="1">
      <x/>
    </i>
    <i r="1">
      <x v="1"/>
    </i>
    <i r="1">
      <x v="2"/>
    </i>
    <i r="1">
      <x v="3"/>
    </i>
    <i r="1">
      <x v="4"/>
    </i>
    <i t="grand">
      <x/>
    </i>
  </rowItems>
  <colItems count="1">
    <i/>
  </colItems>
  <pageFields count="1">
    <pageField fld="6" item="5" hier="-1"/>
  </pageFields>
  <dataFields count="1">
    <dataField name="Average of Area [mm²]" fld="17" subtotal="average" baseField="0" baseItem="0"/>
  </dataFields>
  <chartFormats count="4">
    <chartFormat chart="1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C5D833-F5B3-433F-BF48-655D270AEFCE}" name="PivotTable1" cacheId="2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7">
  <location ref="A4:B35" firstHeaderRow="1" firstDataRow="1" firstDataCol="1" rowPageCount="1" colPageCount="1"/>
  <pivotFields count="19">
    <pivotField showAll="0"/>
    <pivotField showAll="0"/>
    <pivotField showAll="0"/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6"/>
        <item x="4"/>
        <item x="5"/>
        <item x="3"/>
        <item x="2"/>
        <item x="0"/>
        <item x="1"/>
        <item t="default"/>
      </items>
    </pivotField>
    <pivotField showAll="0">
      <items count="4">
        <item x="2"/>
        <item x="0"/>
        <item x="1"/>
        <item t="default"/>
      </items>
    </pivotField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showAll="0"/>
    <pivotField showAll="0">
      <items count="4">
        <item x="2"/>
        <item x="0"/>
        <item x="1"/>
        <item t="default"/>
      </items>
    </pivotField>
    <pivotField axis="axisRow" showAll="0">
      <items count="6">
        <item x="0"/>
        <item x="1"/>
        <item x="3"/>
        <item x="2"/>
        <item x="4"/>
        <item t="default"/>
      </items>
    </pivotField>
    <pivotField dataField="1" showAll="0"/>
    <pivotField showAll="0"/>
    <pivotField showAll="0"/>
    <pivotField showAll="0"/>
  </pivotFields>
  <rowFields count="2">
    <field x="5"/>
    <field x="14"/>
  </rowFields>
  <rowItems count="31">
    <i>
      <x/>
    </i>
    <i r="1">
      <x/>
    </i>
    <i r="1">
      <x v="1"/>
    </i>
    <i r="1">
      <x v="2"/>
    </i>
    <i r="1">
      <x v="3"/>
    </i>
    <i r="1">
      <x v="4"/>
    </i>
    <i>
      <x v="1"/>
    </i>
    <i r="1">
      <x/>
    </i>
    <i r="1">
      <x v="1"/>
    </i>
    <i r="1">
      <x v="2"/>
    </i>
    <i r="1">
      <x v="3"/>
    </i>
    <i r="1">
      <x v="4"/>
    </i>
    <i>
      <x v="2"/>
    </i>
    <i r="1">
      <x/>
    </i>
    <i r="1">
      <x v="1"/>
    </i>
    <i r="1">
      <x v="2"/>
    </i>
    <i r="1">
      <x v="3"/>
    </i>
    <i r="1">
      <x v="4"/>
    </i>
    <i>
      <x v="3"/>
    </i>
    <i r="1">
      <x/>
    </i>
    <i r="1">
      <x v="1"/>
    </i>
    <i r="1">
      <x v="2"/>
    </i>
    <i r="1">
      <x v="3"/>
    </i>
    <i r="1">
      <x v="4"/>
    </i>
    <i>
      <x v="4"/>
    </i>
    <i r="1">
      <x/>
    </i>
    <i r="1">
      <x v="1"/>
    </i>
    <i r="1">
      <x v="2"/>
    </i>
    <i r="1">
      <x v="3"/>
    </i>
    <i r="1">
      <x v="4"/>
    </i>
    <i t="grand">
      <x/>
    </i>
  </rowItems>
  <colItems count="1">
    <i/>
  </colItems>
  <pageFields count="1">
    <pageField fld="6" item="5" hier="-1"/>
  </pageFields>
  <dataFields count="1">
    <dataField name="Average of Energy Efficiency" fld="15" subtotal="average" baseField="0" baseItem="0"/>
  </dataFields>
  <chartFormats count="9">
    <chartFormat chart="2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31">
      <pivotArea type="data" outline="0" fieldPosition="0">
        <references count="3">
          <reference field="4294967294" count="1" selected="0">
            <x v="0"/>
          </reference>
          <reference field="5" count="1" selected="0">
            <x v="1"/>
          </reference>
          <reference field="14" count="1" selected="0">
            <x v="0"/>
          </reference>
        </references>
      </pivotArea>
    </chartFormat>
    <chartFormat chart="6" format="32">
      <pivotArea type="data" outline="0" fieldPosition="0">
        <references count="3">
          <reference field="4294967294" count="1" selected="0">
            <x v="0"/>
          </reference>
          <reference field="5" count="1" selected="0">
            <x v="1"/>
          </reference>
          <reference field="14" count="1" selected="0">
            <x v="1"/>
          </reference>
        </references>
      </pivotArea>
    </chartFormat>
    <chartFormat chart="6" format="33">
      <pivotArea type="data" outline="0" fieldPosition="0">
        <references count="3">
          <reference field="4294967294" count="1" selected="0">
            <x v="0"/>
          </reference>
          <reference field="5" count="1" selected="0">
            <x v="1"/>
          </reference>
          <reference field="14" count="1" selected="0">
            <x v="2"/>
          </reference>
        </references>
      </pivotArea>
    </chartFormat>
    <chartFormat chart="6" format="34">
      <pivotArea type="data" outline="0" fieldPosition="0">
        <references count="3">
          <reference field="4294967294" count="1" selected="0">
            <x v="0"/>
          </reference>
          <reference field="5" count="1" selected="0">
            <x v="1"/>
          </reference>
          <reference field="14" count="1" selected="0">
            <x v="3"/>
          </reference>
        </references>
      </pivotArea>
    </chartFormat>
    <chartFormat chart="6" format="35">
      <pivotArea type="data" outline="0" fieldPosition="0">
        <references count="3">
          <reference field="4294967294" count="1" selected="0">
            <x v="0"/>
          </reference>
          <reference field="5" count="1" selected="0">
            <x v="1"/>
          </reference>
          <reference field="14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ivotTable" Target="../pivotTables/pivot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E9633-4DB5-40D3-8732-7CB317451B73}">
  <sheetPr codeName="shData"/>
  <dimension ref="A1:AB171"/>
  <sheetViews>
    <sheetView workbookViewId="0">
      <selection activeCell="G2" sqref="G2"/>
    </sheetView>
  </sheetViews>
  <sheetFormatPr defaultRowHeight="15" x14ac:dyDescent="0.25"/>
  <cols>
    <col min="1" max="1" width="31.7109375" bestFit="1" customWidth="1"/>
    <col min="2" max="2" width="14.28515625" bestFit="1" customWidth="1"/>
    <col min="3" max="3" width="40.28515625" bestFit="1" customWidth="1"/>
    <col min="4" max="4" width="39.7109375" bestFit="1" customWidth="1"/>
    <col min="5" max="5" width="31.7109375" bestFit="1" customWidth="1"/>
    <col min="6" max="6" width="11.42578125" style="9" bestFit="1" customWidth="1"/>
    <col min="7" max="7" width="15.85546875" style="9" bestFit="1" customWidth="1"/>
    <col min="8" max="8" width="10.140625" style="9" bestFit="1" customWidth="1"/>
    <col min="9" max="9" width="15.85546875" style="9" bestFit="1" customWidth="1"/>
    <col min="10" max="11" width="15.42578125" style="9" bestFit="1" customWidth="1"/>
    <col min="12" max="14" width="12.7109375" style="9" bestFit="1" customWidth="1"/>
    <col min="15" max="15" width="10.85546875" style="9" bestFit="1" customWidth="1"/>
    <col min="16" max="16" width="21.5703125" style="12" bestFit="1" customWidth="1"/>
    <col min="17" max="17" width="6.5703125" style="12" bestFit="1" customWidth="1"/>
    <col min="18" max="18" width="11" style="12" bestFit="1" customWidth="1"/>
  </cols>
  <sheetData>
    <row r="1" spans="1:28" s="1" customForma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3" t="s">
        <v>175</v>
      </c>
      <c r="G1" s="14" t="s">
        <v>176</v>
      </c>
      <c r="H1" s="14" t="s">
        <v>177</v>
      </c>
      <c r="I1" s="14" t="s">
        <v>178</v>
      </c>
      <c r="J1" s="14" t="s">
        <v>179</v>
      </c>
      <c r="K1" s="14" t="s">
        <v>180</v>
      </c>
      <c r="L1" s="14" t="s">
        <v>181</v>
      </c>
      <c r="M1" s="14" t="s">
        <v>182</v>
      </c>
      <c r="N1" s="14" t="s">
        <v>183</v>
      </c>
      <c r="O1" s="14" t="s">
        <v>196</v>
      </c>
      <c r="P1" s="15" t="s">
        <v>200</v>
      </c>
      <c r="Q1" s="16" t="s">
        <v>201</v>
      </c>
      <c r="R1" s="17" t="s">
        <v>202</v>
      </c>
    </row>
    <row r="2" spans="1:28" x14ac:dyDescent="0.25">
      <c r="A2" t="s">
        <v>5</v>
      </c>
      <c r="B2">
        <v>1.7309239999999999</v>
      </c>
      <c r="C2">
        <v>2.1791000000000001E-2</v>
      </c>
      <c r="D2">
        <v>6.0999999999999999E-5</v>
      </c>
      <c r="E2">
        <v>0.196655</v>
      </c>
      <c r="F2" s="8" t="s">
        <v>185</v>
      </c>
      <c r="G2" s="9" t="s">
        <v>190</v>
      </c>
      <c r="H2" s="9">
        <v>128</v>
      </c>
      <c r="I2" s="9">
        <v>1</v>
      </c>
      <c r="J2" s="9">
        <v>32</v>
      </c>
      <c r="K2" s="9">
        <v>32</v>
      </c>
      <c r="L2" s="9">
        <v>1</v>
      </c>
      <c r="M2" s="9">
        <v>1</v>
      </c>
      <c r="N2" s="9">
        <v>2</v>
      </c>
      <c r="O2" s="9">
        <v>512</v>
      </c>
      <c r="P2" s="18">
        <f>1+(C2+D2)*(10+E2*100)+B2</f>
        <v>3.379174506</v>
      </c>
      <c r="Q2" s="21">
        <f>(J2+K2)/128*10+L2/4*10+O2/4096*1+H2/128*10</f>
        <v>17.625</v>
      </c>
      <c r="R2" s="22">
        <f>Q2*P2</f>
        <v>59.557950668250001</v>
      </c>
      <c r="T2" t="s">
        <v>175</v>
      </c>
      <c r="U2" t="s">
        <v>177</v>
      </c>
      <c r="V2" t="s">
        <v>179</v>
      </c>
      <c r="W2" t="s">
        <v>180</v>
      </c>
      <c r="X2" t="s">
        <v>181</v>
      </c>
      <c r="Y2" t="s">
        <v>182</v>
      </c>
      <c r="Z2" t="s">
        <v>183</v>
      </c>
      <c r="AA2" t="s">
        <v>196</v>
      </c>
      <c r="AB2" t="s">
        <v>202</v>
      </c>
    </row>
    <row r="3" spans="1:28" x14ac:dyDescent="0.25">
      <c r="A3" t="s">
        <v>6</v>
      </c>
      <c r="B3">
        <v>1.8363659999999999</v>
      </c>
      <c r="C3">
        <v>2.3845999999999999E-2</v>
      </c>
      <c r="D3">
        <v>9.0000000000000006E-5</v>
      </c>
      <c r="E3">
        <v>0.39927699999999999</v>
      </c>
      <c r="F3" s="8" t="s">
        <v>185</v>
      </c>
      <c r="G3" s="9" t="s">
        <v>190</v>
      </c>
      <c r="H3" s="9">
        <v>32</v>
      </c>
      <c r="I3" s="9">
        <v>1</v>
      </c>
      <c r="J3" s="9">
        <v>32</v>
      </c>
      <c r="K3" s="9">
        <v>32</v>
      </c>
      <c r="L3" s="9">
        <v>1</v>
      </c>
      <c r="M3" s="9">
        <v>1</v>
      </c>
      <c r="N3" s="9">
        <v>2</v>
      </c>
      <c r="O3" s="9">
        <v>512</v>
      </c>
      <c r="P3" s="18">
        <f t="shared" ref="P3:P66" si="0">1+(C3+D3)*(10+E3*100)+B3</f>
        <v>4.0314354271999999</v>
      </c>
      <c r="Q3" s="21">
        <f t="shared" ref="Q3:Q66" si="1">(J3+K3)/128*10+L3/4*10+O3/4096*1+H3/128*10</f>
        <v>10.125</v>
      </c>
      <c r="R3" s="22">
        <f t="shared" ref="R3:R66" si="2">Q3*P3</f>
        <v>40.818283700400002</v>
      </c>
      <c r="T3" t="s">
        <v>185</v>
      </c>
      <c r="U3">
        <v>64</v>
      </c>
      <c r="V3">
        <v>16</v>
      </c>
      <c r="W3">
        <v>16</v>
      </c>
      <c r="X3">
        <v>1</v>
      </c>
      <c r="Y3">
        <v>1</v>
      </c>
      <c r="Z3">
        <v>2</v>
      </c>
      <c r="AA3">
        <v>512</v>
      </c>
      <c r="AB3" s="26">
        <v>36.673870525650003</v>
      </c>
    </row>
    <row r="4" spans="1:28" x14ac:dyDescent="0.25">
      <c r="A4" t="s">
        <v>7</v>
      </c>
      <c r="B4">
        <v>1.727746</v>
      </c>
      <c r="C4">
        <v>2.1398E-2</v>
      </c>
      <c r="D4">
        <v>7.6000000000000004E-5</v>
      </c>
      <c r="E4">
        <v>0.27181100000000002</v>
      </c>
      <c r="F4" s="8" t="s">
        <v>185</v>
      </c>
      <c r="G4" s="9" t="s">
        <v>190</v>
      </c>
      <c r="H4" s="9">
        <v>64</v>
      </c>
      <c r="I4" s="9">
        <v>1</v>
      </c>
      <c r="J4" s="9">
        <v>32</v>
      </c>
      <c r="K4" s="9">
        <v>32</v>
      </c>
      <c r="L4" s="9">
        <v>1</v>
      </c>
      <c r="M4" s="9">
        <v>1</v>
      </c>
      <c r="N4" s="9">
        <v>2</v>
      </c>
      <c r="O4" s="9">
        <v>512</v>
      </c>
      <c r="P4" s="18">
        <f t="shared" si="0"/>
        <v>3.5261729414</v>
      </c>
      <c r="Q4" s="21">
        <f t="shared" si="1"/>
        <v>12.625</v>
      </c>
      <c r="R4" s="22">
        <f t="shared" si="2"/>
        <v>44.517933385174999</v>
      </c>
      <c r="T4" t="s">
        <v>186</v>
      </c>
      <c r="U4">
        <v>64</v>
      </c>
      <c r="V4">
        <v>16</v>
      </c>
      <c r="W4">
        <v>16</v>
      </c>
      <c r="X4">
        <v>1</v>
      </c>
      <c r="Y4">
        <v>1</v>
      </c>
      <c r="Z4">
        <v>2</v>
      </c>
      <c r="AA4">
        <v>512</v>
      </c>
      <c r="AB4" s="26">
        <v>190.91419776956252</v>
      </c>
    </row>
    <row r="5" spans="1:28" x14ac:dyDescent="0.25">
      <c r="A5" t="s">
        <v>8</v>
      </c>
      <c r="B5">
        <v>1.727746</v>
      </c>
      <c r="C5">
        <v>2.1398E-2</v>
      </c>
      <c r="D5">
        <v>7.6000000000000004E-5</v>
      </c>
      <c r="E5">
        <v>0.27181100000000002</v>
      </c>
      <c r="F5" s="8" t="s">
        <v>185</v>
      </c>
      <c r="G5" s="9" t="s">
        <v>195</v>
      </c>
      <c r="H5" s="9">
        <v>64</v>
      </c>
      <c r="I5" s="9">
        <v>1</v>
      </c>
      <c r="J5" s="9">
        <v>32</v>
      </c>
      <c r="K5" s="9">
        <v>32</v>
      </c>
      <c r="L5" s="9">
        <v>1</v>
      </c>
      <c r="M5" s="9">
        <v>1</v>
      </c>
      <c r="N5" s="9">
        <v>2</v>
      </c>
      <c r="O5" s="9">
        <v>512</v>
      </c>
      <c r="P5" s="18">
        <f t="shared" si="0"/>
        <v>3.5261729414</v>
      </c>
      <c r="Q5" s="21">
        <f t="shared" si="1"/>
        <v>12.625</v>
      </c>
      <c r="R5" s="22">
        <f t="shared" si="2"/>
        <v>44.517933385174999</v>
      </c>
      <c r="T5" t="s">
        <v>187</v>
      </c>
      <c r="U5">
        <v>64</v>
      </c>
      <c r="V5">
        <v>16</v>
      </c>
      <c r="W5">
        <v>16</v>
      </c>
      <c r="X5">
        <v>1</v>
      </c>
      <c r="Y5">
        <v>1</v>
      </c>
      <c r="Z5">
        <v>2</v>
      </c>
      <c r="AA5">
        <v>512</v>
      </c>
      <c r="AB5" s="26">
        <v>216.98830872292498</v>
      </c>
    </row>
    <row r="6" spans="1:28" x14ac:dyDescent="0.25">
      <c r="A6" t="s">
        <v>9</v>
      </c>
      <c r="B6">
        <v>1.6570780000000001</v>
      </c>
      <c r="C6">
        <v>1.4063000000000001E-2</v>
      </c>
      <c r="D6">
        <v>7.2000000000000002E-5</v>
      </c>
      <c r="E6">
        <v>0.42174299999999998</v>
      </c>
      <c r="F6" s="8" t="s">
        <v>185</v>
      </c>
      <c r="G6" s="9" t="s">
        <v>191</v>
      </c>
      <c r="H6" s="9">
        <v>64</v>
      </c>
      <c r="I6" s="9">
        <v>1</v>
      </c>
      <c r="J6" s="9">
        <v>128</v>
      </c>
      <c r="K6" s="9">
        <v>128</v>
      </c>
      <c r="L6" s="9">
        <v>1</v>
      </c>
      <c r="M6" s="9">
        <v>1</v>
      </c>
      <c r="N6" s="9">
        <v>2</v>
      </c>
      <c r="O6" s="9">
        <v>512</v>
      </c>
      <c r="P6" s="18">
        <f t="shared" si="0"/>
        <v>3.3945617305</v>
      </c>
      <c r="Q6" s="21">
        <f t="shared" si="1"/>
        <v>27.625</v>
      </c>
      <c r="R6" s="22">
        <f t="shared" si="2"/>
        <v>93.774767805062496</v>
      </c>
      <c r="T6" t="s">
        <v>188</v>
      </c>
      <c r="U6">
        <v>32</v>
      </c>
      <c r="V6">
        <v>32</v>
      </c>
      <c r="W6">
        <v>32</v>
      </c>
      <c r="X6">
        <v>1</v>
      </c>
      <c r="Y6">
        <v>1</v>
      </c>
      <c r="Z6">
        <v>2</v>
      </c>
      <c r="AA6">
        <v>512</v>
      </c>
      <c r="AB6" s="26">
        <v>25.009444510199998</v>
      </c>
    </row>
    <row r="7" spans="1:28" x14ac:dyDescent="0.25">
      <c r="A7" t="s">
        <v>10</v>
      </c>
      <c r="B7">
        <v>1.657357</v>
      </c>
      <c r="C7">
        <v>1.4061000000000001E-2</v>
      </c>
      <c r="D7">
        <v>2.5399999999999999E-4</v>
      </c>
      <c r="E7">
        <v>0.420709</v>
      </c>
      <c r="F7" s="8" t="s">
        <v>185</v>
      </c>
      <c r="G7" s="9" t="s">
        <v>191</v>
      </c>
      <c r="H7" s="9">
        <v>64</v>
      </c>
      <c r="I7" s="9">
        <v>1</v>
      </c>
      <c r="J7" s="9">
        <v>128</v>
      </c>
      <c r="K7" s="9">
        <v>16</v>
      </c>
      <c r="L7" s="9">
        <v>1</v>
      </c>
      <c r="M7" s="9">
        <v>1</v>
      </c>
      <c r="N7" s="9">
        <v>2</v>
      </c>
      <c r="O7" s="9">
        <v>512</v>
      </c>
      <c r="P7" s="18">
        <f t="shared" si="0"/>
        <v>3.4027519335000003</v>
      </c>
      <c r="Q7" s="21">
        <f t="shared" si="1"/>
        <v>18.875</v>
      </c>
      <c r="R7" s="22">
        <f t="shared" si="2"/>
        <v>64.226942744812504</v>
      </c>
      <c r="T7" t="s">
        <v>189</v>
      </c>
      <c r="U7">
        <v>32</v>
      </c>
      <c r="V7">
        <v>32</v>
      </c>
      <c r="W7">
        <v>32</v>
      </c>
      <c r="X7">
        <v>1</v>
      </c>
      <c r="Y7">
        <v>1</v>
      </c>
      <c r="Z7">
        <v>2</v>
      </c>
      <c r="AA7">
        <v>512</v>
      </c>
      <c r="AB7" s="26">
        <v>23.4872018712</v>
      </c>
    </row>
    <row r="8" spans="1:28" x14ac:dyDescent="0.25">
      <c r="A8" t="s">
        <v>11</v>
      </c>
      <c r="B8">
        <v>1.6571560000000001</v>
      </c>
      <c r="C8">
        <v>1.4063000000000001E-2</v>
      </c>
      <c r="D8">
        <v>8.6000000000000003E-5</v>
      </c>
      <c r="E8">
        <v>0.42169699999999999</v>
      </c>
      <c r="F8" s="8" t="s">
        <v>185</v>
      </c>
      <c r="G8" s="9" t="s">
        <v>191</v>
      </c>
      <c r="H8" s="9">
        <v>64</v>
      </c>
      <c r="I8" s="9">
        <v>1</v>
      </c>
      <c r="J8" s="9">
        <v>128</v>
      </c>
      <c r="K8" s="9">
        <v>32</v>
      </c>
      <c r="L8" s="9">
        <v>1</v>
      </c>
      <c r="M8" s="9">
        <v>1</v>
      </c>
      <c r="N8" s="9">
        <v>2</v>
      </c>
      <c r="O8" s="9">
        <v>512</v>
      </c>
      <c r="P8" s="18">
        <f t="shared" si="0"/>
        <v>3.3953050853</v>
      </c>
      <c r="Q8" s="21">
        <f t="shared" si="1"/>
        <v>20.125</v>
      </c>
      <c r="R8" s="22">
        <f t="shared" si="2"/>
        <v>68.330514841662506</v>
      </c>
    </row>
    <row r="9" spans="1:28" x14ac:dyDescent="0.25">
      <c r="A9" t="s">
        <v>12</v>
      </c>
      <c r="B9">
        <v>1.6570780000000001</v>
      </c>
      <c r="C9">
        <v>1.4061000000000001E-2</v>
      </c>
      <c r="D9">
        <v>7.6000000000000004E-5</v>
      </c>
      <c r="E9">
        <v>0.421736</v>
      </c>
      <c r="F9" s="8" t="s">
        <v>185</v>
      </c>
      <c r="G9" s="9" t="s">
        <v>191</v>
      </c>
      <c r="H9" s="9">
        <v>64</v>
      </c>
      <c r="I9" s="9">
        <v>1</v>
      </c>
      <c r="J9" s="9">
        <v>128</v>
      </c>
      <c r="K9" s="9">
        <v>64</v>
      </c>
      <c r="L9" s="9">
        <v>1</v>
      </c>
      <c r="M9" s="9">
        <v>1</v>
      </c>
      <c r="N9" s="9">
        <v>2</v>
      </c>
      <c r="O9" s="9">
        <v>512</v>
      </c>
      <c r="P9" s="18">
        <f t="shared" si="0"/>
        <v>3.3946561832000004</v>
      </c>
      <c r="Q9" s="21">
        <f t="shared" si="1"/>
        <v>22.625</v>
      </c>
      <c r="R9" s="22">
        <f t="shared" si="2"/>
        <v>76.804096144900015</v>
      </c>
    </row>
    <row r="10" spans="1:28" x14ac:dyDescent="0.25">
      <c r="A10" t="s">
        <v>13</v>
      </c>
      <c r="B10">
        <v>1.7735300000000001</v>
      </c>
      <c r="C10">
        <v>2.6154E-2</v>
      </c>
      <c r="D10">
        <v>7.2000000000000002E-5</v>
      </c>
      <c r="E10">
        <v>0.22145599999999999</v>
      </c>
      <c r="F10" s="8" t="s">
        <v>185</v>
      </c>
      <c r="G10" s="9" t="s">
        <v>191</v>
      </c>
      <c r="H10" s="9">
        <v>64</v>
      </c>
      <c r="I10" s="9">
        <v>1</v>
      </c>
      <c r="J10" s="9">
        <v>16</v>
      </c>
      <c r="K10" s="9">
        <v>128</v>
      </c>
      <c r="L10" s="9">
        <v>1</v>
      </c>
      <c r="M10" s="9">
        <v>1</v>
      </c>
      <c r="N10" s="9">
        <v>2</v>
      </c>
      <c r="O10" s="9">
        <v>512</v>
      </c>
      <c r="P10" s="18">
        <f t="shared" si="0"/>
        <v>3.6165805056</v>
      </c>
      <c r="Q10" s="21">
        <f t="shared" si="1"/>
        <v>18.875</v>
      </c>
      <c r="R10" s="22">
        <f t="shared" si="2"/>
        <v>68.262957043200004</v>
      </c>
    </row>
    <row r="11" spans="1:28" x14ac:dyDescent="0.25">
      <c r="A11" t="s">
        <v>14</v>
      </c>
      <c r="B11">
        <v>1.7737810000000001</v>
      </c>
      <c r="C11">
        <v>2.6152000000000002E-2</v>
      </c>
      <c r="D11">
        <v>2.5999999999999998E-4</v>
      </c>
      <c r="E11">
        <v>0.221191</v>
      </c>
      <c r="F11" s="8" t="s">
        <v>185</v>
      </c>
      <c r="G11" s="9" t="s">
        <v>191</v>
      </c>
      <c r="H11" s="9">
        <v>64</v>
      </c>
      <c r="I11" s="9">
        <v>1</v>
      </c>
      <c r="J11" s="9">
        <v>16</v>
      </c>
      <c r="K11" s="9">
        <v>16</v>
      </c>
      <c r="L11" s="9">
        <v>1</v>
      </c>
      <c r="M11" s="9">
        <v>1</v>
      </c>
      <c r="N11" s="9">
        <v>2</v>
      </c>
      <c r="O11" s="9">
        <v>512</v>
      </c>
      <c r="P11" s="18">
        <f t="shared" si="0"/>
        <v>3.6221106692</v>
      </c>
      <c r="Q11" s="21">
        <f t="shared" si="1"/>
        <v>10.125</v>
      </c>
      <c r="R11" s="22">
        <f t="shared" si="2"/>
        <v>36.673870525650003</v>
      </c>
    </row>
    <row r="12" spans="1:28" x14ac:dyDescent="0.25">
      <c r="A12" t="s">
        <v>15</v>
      </c>
      <c r="B12">
        <v>1.7736080000000001</v>
      </c>
      <c r="C12">
        <v>2.6154E-2</v>
      </c>
      <c r="D12">
        <v>8.6000000000000003E-5</v>
      </c>
      <c r="E12">
        <v>0.22145300000000001</v>
      </c>
      <c r="F12" s="8" t="s">
        <v>185</v>
      </c>
      <c r="G12" s="9" t="s">
        <v>191</v>
      </c>
      <c r="H12" s="9">
        <v>64</v>
      </c>
      <c r="I12" s="9">
        <v>1</v>
      </c>
      <c r="J12" s="9">
        <v>16</v>
      </c>
      <c r="K12" s="9">
        <v>32</v>
      </c>
      <c r="L12" s="9">
        <v>1</v>
      </c>
      <c r="M12" s="9">
        <v>1</v>
      </c>
      <c r="N12" s="9">
        <v>2</v>
      </c>
      <c r="O12" s="9">
        <v>512</v>
      </c>
      <c r="P12" s="18">
        <f t="shared" si="0"/>
        <v>3.6171006720000003</v>
      </c>
      <c r="Q12" s="21">
        <f t="shared" si="1"/>
        <v>11.375</v>
      </c>
      <c r="R12" s="22">
        <f t="shared" si="2"/>
        <v>41.144520144000005</v>
      </c>
    </row>
    <row r="13" spans="1:28" x14ac:dyDescent="0.25">
      <c r="A13" t="s">
        <v>16</v>
      </c>
      <c r="B13">
        <v>1.7736149999999999</v>
      </c>
      <c r="C13">
        <v>2.6152999999999999E-2</v>
      </c>
      <c r="D13">
        <v>7.6000000000000004E-5</v>
      </c>
      <c r="E13">
        <v>0.22145599999999999</v>
      </c>
      <c r="F13" s="8" t="s">
        <v>185</v>
      </c>
      <c r="G13" s="9" t="s">
        <v>191</v>
      </c>
      <c r="H13" s="9">
        <v>64</v>
      </c>
      <c r="I13" s="9">
        <v>1</v>
      </c>
      <c r="J13" s="9">
        <v>16</v>
      </c>
      <c r="K13" s="9">
        <v>64</v>
      </c>
      <c r="L13" s="9">
        <v>1</v>
      </c>
      <c r="M13" s="9">
        <v>1</v>
      </c>
      <c r="N13" s="9">
        <v>2</v>
      </c>
      <c r="O13" s="9">
        <v>512</v>
      </c>
      <c r="P13" s="18">
        <f t="shared" si="0"/>
        <v>3.6167619424000002</v>
      </c>
      <c r="Q13" s="21">
        <f t="shared" si="1"/>
        <v>13.875</v>
      </c>
      <c r="R13" s="22">
        <f t="shared" si="2"/>
        <v>50.182571950800003</v>
      </c>
    </row>
    <row r="14" spans="1:28" x14ac:dyDescent="0.25">
      <c r="A14" t="s">
        <v>17</v>
      </c>
      <c r="B14">
        <v>1.727746</v>
      </c>
      <c r="C14">
        <v>2.1398E-2</v>
      </c>
      <c r="D14">
        <v>7.2000000000000002E-5</v>
      </c>
      <c r="E14">
        <v>0.271812</v>
      </c>
      <c r="F14" s="8" t="s">
        <v>185</v>
      </c>
      <c r="G14" s="9" t="s">
        <v>191</v>
      </c>
      <c r="H14" s="9">
        <v>64</v>
      </c>
      <c r="I14" s="9">
        <v>1</v>
      </c>
      <c r="J14" s="9">
        <v>32</v>
      </c>
      <c r="K14" s="9">
        <v>128</v>
      </c>
      <c r="L14" s="9">
        <v>1</v>
      </c>
      <c r="M14" s="9">
        <v>1</v>
      </c>
      <c r="N14" s="9">
        <v>2</v>
      </c>
      <c r="O14" s="9">
        <v>512</v>
      </c>
      <c r="P14" s="18">
        <f t="shared" si="0"/>
        <v>3.5260263639999998</v>
      </c>
      <c r="Q14" s="21">
        <f t="shared" si="1"/>
        <v>20.125</v>
      </c>
      <c r="R14" s="22">
        <f t="shared" si="2"/>
        <v>70.961280575499998</v>
      </c>
    </row>
    <row r="15" spans="1:28" x14ac:dyDescent="0.25">
      <c r="A15" t="s">
        <v>18</v>
      </c>
      <c r="B15">
        <v>1.72793</v>
      </c>
      <c r="C15">
        <v>2.1395999999999998E-2</v>
      </c>
      <c r="D15">
        <v>2.5399999999999999E-4</v>
      </c>
      <c r="E15">
        <v>0.27140900000000001</v>
      </c>
      <c r="F15" s="8" t="s">
        <v>185</v>
      </c>
      <c r="G15" s="9" t="s">
        <v>191</v>
      </c>
      <c r="H15" s="9">
        <v>64</v>
      </c>
      <c r="I15" s="9">
        <v>1</v>
      </c>
      <c r="J15" s="9">
        <v>32</v>
      </c>
      <c r="K15" s="9">
        <v>16</v>
      </c>
      <c r="L15" s="9">
        <v>1</v>
      </c>
      <c r="M15" s="9">
        <v>1</v>
      </c>
      <c r="N15" s="9">
        <v>2</v>
      </c>
      <c r="O15" s="9">
        <v>512</v>
      </c>
      <c r="P15" s="18">
        <f t="shared" si="0"/>
        <v>3.5320304849999999</v>
      </c>
      <c r="Q15" s="21">
        <f t="shared" si="1"/>
        <v>11.375</v>
      </c>
      <c r="R15" s="22">
        <f t="shared" si="2"/>
        <v>40.176846766875002</v>
      </c>
    </row>
    <row r="16" spans="1:28" x14ac:dyDescent="0.25">
      <c r="A16" t="s">
        <v>19</v>
      </c>
      <c r="B16">
        <v>1.7277739999999999</v>
      </c>
      <c r="C16">
        <v>2.1398E-2</v>
      </c>
      <c r="D16">
        <v>8.6000000000000003E-5</v>
      </c>
      <c r="E16">
        <v>0.27180100000000001</v>
      </c>
      <c r="F16" s="8" t="s">
        <v>185</v>
      </c>
      <c r="G16" s="9" t="s">
        <v>191</v>
      </c>
      <c r="H16" s="9">
        <v>64</v>
      </c>
      <c r="I16" s="9">
        <v>1</v>
      </c>
      <c r="J16" s="9">
        <v>32</v>
      </c>
      <c r="K16" s="9">
        <v>32</v>
      </c>
      <c r="L16" s="9">
        <v>1</v>
      </c>
      <c r="M16" s="9">
        <v>1</v>
      </c>
      <c r="N16" s="9">
        <v>2</v>
      </c>
      <c r="O16" s="9">
        <v>512</v>
      </c>
      <c r="P16" s="18">
        <f t="shared" si="0"/>
        <v>3.5265512684</v>
      </c>
      <c r="Q16" s="21">
        <f t="shared" si="1"/>
        <v>12.625</v>
      </c>
      <c r="R16" s="22">
        <f t="shared" si="2"/>
        <v>44.522709763549997</v>
      </c>
    </row>
    <row r="17" spans="1:18" x14ac:dyDescent="0.25">
      <c r="A17" t="s">
        <v>20</v>
      </c>
      <c r="B17">
        <v>1.727746</v>
      </c>
      <c r="C17">
        <v>2.1398E-2</v>
      </c>
      <c r="D17">
        <v>7.6000000000000004E-5</v>
      </c>
      <c r="E17">
        <v>0.27181100000000002</v>
      </c>
      <c r="F17" s="8" t="s">
        <v>185</v>
      </c>
      <c r="G17" s="9" t="s">
        <v>191</v>
      </c>
      <c r="H17" s="9">
        <v>64</v>
      </c>
      <c r="I17" s="9">
        <v>1</v>
      </c>
      <c r="J17" s="9">
        <v>32</v>
      </c>
      <c r="K17" s="9">
        <v>64</v>
      </c>
      <c r="L17" s="9">
        <v>1</v>
      </c>
      <c r="M17" s="9">
        <v>1</v>
      </c>
      <c r="N17" s="9">
        <v>2</v>
      </c>
      <c r="O17" s="9">
        <v>512</v>
      </c>
      <c r="P17" s="18">
        <f t="shared" si="0"/>
        <v>3.5261729414</v>
      </c>
      <c r="Q17" s="21">
        <f t="shared" si="1"/>
        <v>15.125</v>
      </c>
      <c r="R17" s="22">
        <f t="shared" si="2"/>
        <v>53.333365738674999</v>
      </c>
    </row>
    <row r="18" spans="1:18" x14ac:dyDescent="0.25">
      <c r="A18" t="s">
        <v>21</v>
      </c>
      <c r="B18">
        <v>1.693686</v>
      </c>
      <c r="C18">
        <v>1.7753999999999999E-2</v>
      </c>
      <c r="D18">
        <v>7.2000000000000002E-5</v>
      </c>
      <c r="E18">
        <v>0.32970300000000002</v>
      </c>
      <c r="F18" s="8" t="s">
        <v>185</v>
      </c>
      <c r="G18" s="9" t="s">
        <v>191</v>
      </c>
      <c r="H18" s="9">
        <v>64</v>
      </c>
      <c r="I18" s="9">
        <v>1</v>
      </c>
      <c r="J18" s="9">
        <v>64</v>
      </c>
      <c r="K18" s="9">
        <v>128</v>
      </c>
      <c r="L18" s="9">
        <v>1</v>
      </c>
      <c r="M18" s="9">
        <v>1</v>
      </c>
      <c r="N18" s="9">
        <v>2</v>
      </c>
      <c r="O18" s="9">
        <v>512</v>
      </c>
      <c r="P18" s="18">
        <f t="shared" si="0"/>
        <v>3.4596745678</v>
      </c>
      <c r="Q18" s="21">
        <f t="shared" si="1"/>
        <v>22.625</v>
      </c>
      <c r="R18" s="22">
        <f t="shared" si="2"/>
        <v>78.275137096475007</v>
      </c>
    </row>
    <row r="19" spans="1:18" x14ac:dyDescent="0.25">
      <c r="A19" t="s">
        <v>22</v>
      </c>
      <c r="B19">
        <v>1.693845</v>
      </c>
      <c r="C19">
        <v>1.7753999999999999E-2</v>
      </c>
      <c r="D19">
        <v>2.5399999999999999E-4</v>
      </c>
      <c r="E19">
        <v>0.32909899999999997</v>
      </c>
      <c r="F19" s="8" t="s">
        <v>185</v>
      </c>
      <c r="G19" s="9" t="s">
        <v>191</v>
      </c>
      <c r="H19" s="9">
        <v>64</v>
      </c>
      <c r="I19" s="9">
        <v>1</v>
      </c>
      <c r="J19" s="9">
        <v>64</v>
      </c>
      <c r="K19" s="9">
        <v>16</v>
      </c>
      <c r="L19" s="9">
        <v>1</v>
      </c>
      <c r="M19" s="9">
        <v>1</v>
      </c>
      <c r="N19" s="9">
        <v>2</v>
      </c>
      <c r="O19" s="9">
        <v>512</v>
      </c>
      <c r="P19" s="18">
        <f t="shared" si="0"/>
        <v>3.4665664791999999</v>
      </c>
      <c r="Q19" s="21">
        <f t="shared" si="1"/>
        <v>13.875</v>
      </c>
      <c r="R19" s="22">
        <f t="shared" si="2"/>
        <v>48.098609898900001</v>
      </c>
    </row>
    <row r="20" spans="1:18" x14ac:dyDescent="0.25">
      <c r="A20" t="s">
        <v>23</v>
      </c>
      <c r="B20">
        <v>1.693587</v>
      </c>
      <c r="C20">
        <v>1.7753999999999999E-2</v>
      </c>
      <c r="D20">
        <v>8.6000000000000003E-5</v>
      </c>
      <c r="E20">
        <v>0.329683</v>
      </c>
      <c r="F20" s="8" t="s">
        <v>185</v>
      </c>
      <c r="G20" s="9" t="s">
        <v>191</v>
      </c>
      <c r="H20" s="9">
        <v>64</v>
      </c>
      <c r="I20" s="9">
        <v>1</v>
      </c>
      <c r="J20" s="9">
        <v>64</v>
      </c>
      <c r="K20" s="9">
        <v>32</v>
      </c>
      <c r="L20" s="9">
        <v>1</v>
      </c>
      <c r="M20" s="9">
        <v>1</v>
      </c>
      <c r="N20" s="9">
        <v>2</v>
      </c>
      <c r="O20" s="9">
        <v>512</v>
      </c>
      <c r="P20" s="18">
        <f t="shared" si="0"/>
        <v>3.4601414720000001</v>
      </c>
      <c r="Q20" s="21">
        <f t="shared" si="1"/>
        <v>15.125</v>
      </c>
      <c r="R20" s="22">
        <f t="shared" si="2"/>
        <v>52.334639764000002</v>
      </c>
    </row>
    <row r="21" spans="1:18" x14ac:dyDescent="0.25">
      <c r="A21" t="s">
        <v>24</v>
      </c>
      <c r="B21">
        <v>1.693686</v>
      </c>
      <c r="C21">
        <v>1.7753999999999999E-2</v>
      </c>
      <c r="D21">
        <v>7.6000000000000004E-5</v>
      </c>
      <c r="E21">
        <v>0.329702</v>
      </c>
      <c r="F21" s="8" t="s">
        <v>185</v>
      </c>
      <c r="G21" s="9" t="s">
        <v>191</v>
      </c>
      <c r="H21" s="9">
        <v>64</v>
      </c>
      <c r="I21" s="9">
        <v>1</v>
      </c>
      <c r="J21" s="9">
        <v>64</v>
      </c>
      <c r="K21" s="9">
        <v>64</v>
      </c>
      <c r="L21" s="9">
        <v>1</v>
      </c>
      <c r="M21" s="9">
        <v>1</v>
      </c>
      <c r="N21" s="9">
        <v>2</v>
      </c>
      <c r="O21" s="9">
        <v>512</v>
      </c>
      <c r="P21" s="18">
        <f t="shared" si="0"/>
        <v>3.459844666</v>
      </c>
      <c r="Q21" s="21">
        <f t="shared" si="1"/>
        <v>17.625</v>
      </c>
      <c r="R21" s="22">
        <f t="shared" si="2"/>
        <v>60.979762238249997</v>
      </c>
    </row>
    <row r="22" spans="1:18" x14ac:dyDescent="0.25">
      <c r="A22" t="s">
        <v>25</v>
      </c>
      <c r="B22">
        <v>1.727746</v>
      </c>
      <c r="C22">
        <v>2.1398E-2</v>
      </c>
      <c r="D22">
        <v>7.6000000000000004E-5</v>
      </c>
      <c r="E22">
        <v>0.27181100000000002</v>
      </c>
      <c r="F22" s="8" t="s">
        <v>185</v>
      </c>
      <c r="G22" s="9" t="s">
        <v>192</v>
      </c>
      <c r="H22" s="9">
        <v>64</v>
      </c>
      <c r="I22" s="9">
        <v>1</v>
      </c>
      <c r="J22" s="9">
        <v>32</v>
      </c>
      <c r="K22" s="9">
        <v>32</v>
      </c>
      <c r="L22" s="9">
        <v>1</v>
      </c>
      <c r="M22" s="9">
        <v>1</v>
      </c>
      <c r="N22" s="9">
        <v>2</v>
      </c>
      <c r="O22" s="9">
        <v>512</v>
      </c>
      <c r="P22" s="18">
        <f t="shared" si="0"/>
        <v>3.5261729414</v>
      </c>
      <c r="Q22" s="21">
        <f t="shared" si="1"/>
        <v>12.625</v>
      </c>
      <c r="R22" s="22">
        <f t="shared" si="2"/>
        <v>44.517933385174999</v>
      </c>
    </row>
    <row r="23" spans="1:18" x14ac:dyDescent="0.25">
      <c r="A23" t="s">
        <v>26</v>
      </c>
      <c r="B23">
        <v>1.688318</v>
      </c>
      <c r="C23">
        <v>1.7826000000000002E-2</v>
      </c>
      <c r="D23">
        <v>7.6000000000000004E-5</v>
      </c>
      <c r="E23">
        <v>0.32708500000000001</v>
      </c>
      <c r="F23" s="8" t="s">
        <v>185</v>
      </c>
      <c r="G23" s="9" t="s">
        <v>192</v>
      </c>
      <c r="H23" s="9">
        <v>64</v>
      </c>
      <c r="I23" s="9">
        <v>1</v>
      </c>
      <c r="J23" s="9">
        <v>32</v>
      </c>
      <c r="K23" s="9">
        <v>32</v>
      </c>
      <c r="L23" s="9">
        <v>2</v>
      </c>
      <c r="M23" s="9">
        <v>1</v>
      </c>
      <c r="N23" s="9">
        <v>2</v>
      </c>
      <c r="O23" s="9">
        <v>512</v>
      </c>
      <c r="P23" s="18">
        <f t="shared" si="0"/>
        <v>3.452885567</v>
      </c>
      <c r="Q23" s="21">
        <f t="shared" si="1"/>
        <v>15.125</v>
      </c>
      <c r="R23" s="22">
        <f t="shared" si="2"/>
        <v>52.224894200874999</v>
      </c>
    </row>
    <row r="24" spans="1:18" x14ac:dyDescent="0.25">
      <c r="A24" t="s">
        <v>27</v>
      </c>
      <c r="B24">
        <v>1.67506</v>
      </c>
      <c r="C24">
        <v>1.6514999999999998E-2</v>
      </c>
      <c r="D24">
        <v>7.6000000000000004E-5</v>
      </c>
      <c r="E24">
        <v>0.35416300000000001</v>
      </c>
      <c r="F24" s="8" t="s">
        <v>185</v>
      </c>
      <c r="G24" s="9" t="s">
        <v>192</v>
      </c>
      <c r="H24" s="9">
        <v>64</v>
      </c>
      <c r="I24" s="9">
        <v>1</v>
      </c>
      <c r="J24" s="9">
        <v>32</v>
      </c>
      <c r="K24" s="9">
        <v>32</v>
      </c>
      <c r="L24" s="9">
        <v>4</v>
      </c>
      <c r="M24" s="9">
        <v>1</v>
      </c>
      <c r="N24" s="9">
        <v>2</v>
      </c>
      <c r="O24" s="9">
        <v>512</v>
      </c>
      <c r="P24" s="18">
        <f t="shared" si="0"/>
        <v>3.4285618332999999</v>
      </c>
      <c r="Q24" s="21">
        <f t="shared" si="1"/>
        <v>20.125</v>
      </c>
      <c r="R24" s="22">
        <f t="shared" si="2"/>
        <v>68.999806895162493</v>
      </c>
    </row>
    <row r="25" spans="1:18" x14ac:dyDescent="0.25">
      <c r="A25" t="s">
        <v>28</v>
      </c>
      <c r="B25">
        <v>1.727746</v>
      </c>
      <c r="C25">
        <v>2.1398E-2</v>
      </c>
      <c r="D25">
        <v>7.6000000000000004E-5</v>
      </c>
      <c r="E25">
        <v>0.27181100000000002</v>
      </c>
      <c r="F25" s="8" t="s">
        <v>185</v>
      </c>
      <c r="G25" s="9" t="s">
        <v>193</v>
      </c>
      <c r="H25" s="9">
        <v>64</v>
      </c>
      <c r="I25" s="9">
        <v>1</v>
      </c>
      <c r="J25" s="9">
        <v>32</v>
      </c>
      <c r="K25" s="9">
        <v>32</v>
      </c>
      <c r="L25" s="9">
        <v>1</v>
      </c>
      <c r="M25" s="9">
        <v>1</v>
      </c>
      <c r="N25" s="9">
        <v>2</v>
      </c>
      <c r="O25" s="9">
        <v>512</v>
      </c>
      <c r="P25" s="18">
        <f t="shared" si="0"/>
        <v>3.5261729414</v>
      </c>
      <c r="Q25" s="21">
        <f t="shared" si="1"/>
        <v>12.625</v>
      </c>
      <c r="R25" s="22">
        <f t="shared" si="2"/>
        <v>44.517933385174999</v>
      </c>
    </row>
    <row r="26" spans="1:18" x14ac:dyDescent="0.25">
      <c r="A26" t="s">
        <v>29</v>
      </c>
      <c r="B26">
        <v>1.7276959999999999</v>
      </c>
      <c r="C26">
        <v>2.1395999999999998E-2</v>
      </c>
      <c r="D26">
        <v>6.9999999999999994E-5</v>
      </c>
      <c r="E26">
        <v>0.27180599999999999</v>
      </c>
      <c r="F26" s="8" t="s">
        <v>185</v>
      </c>
      <c r="G26" s="9" t="s">
        <v>193</v>
      </c>
      <c r="H26" s="9">
        <v>64</v>
      </c>
      <c r="I26" s="9">
        <v>1</v>
      </c>
      <c r="J26" s="9">
        <v>32</v>
      </c>
      <c r="K26" s="9">
        <v>32</v>
      </c>
      <c r="L26" s="9">
        <v>1</v>
      </c>
      <c r="M26" s="9">
        <v>2</v>
      </c>
      <c r="N26" s="9">
        <v>2</v>
      </c>
      <c r="O26" s="9">
        <v>512</v>
      </c>
      <c r="P26" s="18">
        <f t="shared" si="0"/>
        <v>3.5258147595999998</v>
      </c>
      <c r="Q26" s="21">
        <f t="shared" si="1"/>
        <v>12.625</v>
      </c>
      <c r="R26" s="22">
        <f t="shared" si="2"/>
        <v>44.513411339949997</v>
      </c>
    </row>
    <row r="27" spans="1:18" x14ac:dyDescent="0.25">
      <c r="A27" t="s">
        <v>30</v>
      </c>
      <c r="B27">
        <v>1.7277910000000001</v>
      </c>
      <c r="C27">
        <v>2.1396999999999999E-2</v>
      </c>
      <c r="D27">
        <v>6.7000000000000002E-5</v>
      </c>
      <c r="E27">
        <v>0.27181300000000003</v>
      </c>
      <c r="F27" s="8" t="s">
        <v>185</v>
      </c>
      <c r="G27" s="9" t="s">
        <v>193</v>
      </c>
      <c r="H27" s="9">
        <v>64</v>
      </c>
      <c r="I27" s="9">
        <v>1</v>
      </c>
      <c r="J27" s="9">
        <v>32</v>
      </c>
      <c r="K27" s="9">
        <v>32</v>
      </c>
      <c r="L27" s="9">
        <v>1</v>
      </c>
      <c r="M27" s="9">
        <v>4</v>
      </c>
      <c r="N27" s="9">
        <v>2</v>
      </c>
      <c r="O27" s="9">
        <v>512</v>
      </c>
      <c r="P27" s="18">
        <f t="shared" si="0"/>
        <v>3.5258504232000005</v>
      </c>
      <c r="Q27" s="21">
        <f t="shared" si="1"/>
        <v>12.625</v>
      </c>
      <c r="R27" s="22">
        <f t="shared" si="2"/>
        <v>44.513861592900007</v>
      </c>
    </row>
    <row r="28" spans="1:18" x14ac:dyDescent="0.25">
      <c r="A28" t="s">
        <v>31</v>
      </c>
      <c r="B28">
        <v>1.7450319999999999</v>
      </c>
      <c r="C28">
        <v>2.1366E-2</v>
      </c>
      <c r="D28">
        <v>7.6000000000000004E-5</v>
      </c>
      <c r="E28">
        <v>0.30058699999999999</v>
      </c>
      <c r="F28" s="8" t="s">
        <v>185</v>
      </c>
      <c r="G28" s="9" t="s">
        <v>194</v>
      </c>
      <c r="H28" s="9">
        <v>64</v>
      </c>
      <c r="I28" s="9">
        <v>1</v>
      </c>
      <c r="J28" s="9">
        <v>32</v>
      </c>
      <c r="K28" s="9">
        <v>32</v>
      </c>
      <c r="L28" s="9">
        <v>1</v>
      </c>
      <c r="M28" s="9">
        <v>1</v>
      </c>
      <c r="N28" s="9">
        <v>1</v>
      </c>
      <c r="O28" s="9">
        <v>512</v>
      </c>
      <c r="P28" s="18">
        <f t="shared" si="0"/>
        <v>3.6039706453999996</v>
      </c>
      <c r="Q28" s="21">
        <f t="shared" si="1"/>
        <v>12.625</v>
      </c>
      <c r="R28" s="22">
        <f t="shared" si="2"/>
        <v>45.500129398174991</v>
      </c>
    </row>
    <row r="29" spans="1:18" x14ac:dyDescent="0.25">
      <c r="A29" t="s">
        <v>32</v>
      </c>
      <c r="B29">
        <v>1.727746</v>
      </c>
      <c r="C29">
        <v>2.1398E-2</v>
      </c>
      <c r="D29">
        <v>7.6000000000000004E-5</v>
      </c>
      <c r="E29">
        <v>0.27181100000000002</v>
      </c>
      <c r="F29" s="8" t="s">
        <v>185</v>
      </c>
      <c r="G29" s="9" t="s">
        <v>194</v>
      </c>
      <c r="H29" s="9">
        <v>64</v>
      </c>
      <c r="I29" s="9">
        <v>1</v>
      </c>
      <c r="J29" s="9">
        <v>32</v>
      </c>
      <c r="K29" s="9">
        <v>32</v>
      </c>
      <c r="L29" s="9">
        <v>1</v>
      </c>
      <c r="M29" s="9">
        <v>1</v>
      </c>
      <c r="N29" s="9">
        <v>2</v>
      </c>
      <c r="O29" s="9">
        <v>512</v>
      </c>
      <c r="P29" s="18">
        <f t="shared" si="0"/>
        <v>3.5261729414</v>
      </c>
      <c r="Q29" s="21">
        <f t="shared" si="1"/>
        <v>12.625</v>
      </c>
      <c r="R29" s="22">
        <f t="shared" si="2"/>
        <v>44.517933385174999</v>
      </c>
    </row>
    <row r="30" spans="1:18" x14ac:dyDescent="0.25">
      <c r="A30" t="s">
        <v>33</v>
      </c>
      <c r="B30">
        <v>1.726159</v>
      </c>
      <c r="C30">
        <v>2.1398E-2</v>
      </c>
      <c r="D30">
        <v>7.6000000000000004E-5</v>
      </c>
      <c r="E30">
        <v>0.26552999999999999</v>
      </c>
      <c r="F30" s="8" t="s">
        <v>185</v>
      </c>
      <c r="G30" s="9" t="s">
        <v>194</v>
      </c>
      <c r="H30" s="9">
        <v>64</v>
      </c>
      <c r="I30" s="9">
        <v>1</v>
      </c>
      <c r="J30" s="9">
        <v>32</v>
      </c>
      <c r="K30" s="9">
        <v>32</v>
      </c>
      <c r="L30" s="9">
        <v>1</v>
      </c>
      <c r="M30" s="9">
        <v>1</v>
      </c>
      <c r="N30" s="9">
        <v>4</v>
      </c>
      <c r="O30" s="9">
        <v>512</v>
      </c>
      <c r="P30" s="18">
        <f t="shared" si="0"/>
        <v>3.5110981219999999</v>
      </c>
      <c r="Q30" s="21">
        <f t="shared" si="1"/>
        <v>12.625</v>
      </c>
      <c r="R30" s="22">
        <f t="shared" si="2"/>
        <v>44.327613790249998</v>
      </c>
    </row>
    <row r="31" spans="1:18" x14ac:dyDescent="0.25">
      <c r="A31" t="s">
        <v>34</v>
      </c>
      <c r="B31">
        <v>1.7011620000000001</v>
      </c>
      <c r="C31">
        <v>2.1405E-2</v>
      </c>
      <c r="D31">
        <v>7.6000000000000004E-5</v>
      </c>
      <c r="E31">
        <v>0.22436600000000001</v>
      </c>
      <c r="F31" s="8" t="s">
        <v>185</v>
      </c>
      <c r="G31" s="9" t="s">
        <v>184</v>
      </c>
      <c r="H31" s="9">
        <v>64</v>
      </c>
      <c r="I31" s="9">
        <v>1</v>
      </c>
      <c r="J31" s="9">
        <v>32</v>
      </c>
      <c r="K31" s="9">
        <v>32</v>
      </c>
      <c r="L31" s="9">
        <v>1</v>
      </c>
      <c r="M31" s="9">
        <v>1</v>
      </c>
      <c r="N31" s="9">
        <v>2</v>
      </c>
      <c r="O31" s="9">
        <v>1024</v>
      </c>
      <c r="P31" s="18">
        <f t="shared" si="0"/>
        <v>3.3979326046000002</v>
      </c>
      <c r="Q31" s="21">
        <f t="shared" si="1"/>
        <v>12.75</v>
      </c>
      <c r="R31" s="22">
        <f t="shared" si="2"/>
        <v>43.323640708650004</v>
      </c>
    </row>
    <row r="32" spans="1:18" x14ac:dyDescent="0.25">
      <c r="A32" t="s">
        <v>35</v>
      </c>
      <c r="B32">
        <v>1.782824</v>
      </c>
      <c r="C32">
        <v>2.138E-2</v>
      </c>
      <c r="D32">
        <v>7.6000000000000004E-5</v>
      </c>
      <c r="E32">
        <v>0.35717199999999999</v>
      </c>
      <c r="F32" s="8" t="s">
        <v>185</v>
      </c>
      <c r="G32" s="9" t="s">
        <v>184</v>
      </c>
      <c r="H32" s="9">
        <v>64</v>
      </c>
      <c r="I32" s="9">
        <v>1</v>
      </c>
      <c r="J32" s="9">
        <v>32</v>
      </c>
      <c r="K32" s="9">
        <v>32</v>
      </c>
      <c r="L32" s="9">
        <v>1</v>
      </c>
      <c r="M32" s="9">
        <v>1</v>
      </c>
      <c r="N32" s="9">
        <v>2</v>
      </c>
      <c r="O32" s="9">
        <v>256</v>
      </c>
      <c r="P32" s="18">
        <f t="shared" si="0"/>
        <v>3.7637322431999998</v>
      </c>
      <c r="Q32" s="21">
        <f t="shared" si="1"/>
        <v>12.5625</v>
      </c>
      <c r="R32" s="22">
        <f t="shared" si="2"/>
        <v>47.281886305199997</v>
      </c>
    </row>
    <row r="33" spans="1:18" x14ac:dyDescent="0.25">
      <c r="A33" t="s">
        <v>36</v>
      </c>
      <c r="B33">
        <v>1.6845969999999999</v>
      </c>
      <c r="C33">
        <v>2.1402999999999998E-2</v>
      </c>
      <c r="D33">
        <v>7.6000000000000004E-5</v>
      </c>
      <c r="E33">
        <v>0.19744400000000001</v>
      </c>
      <c r="F33" s="8" t="s">
        <v>185</v>
      </c>
      <c r="G33" s="9" t="s">
        <v>184</v>
      </c>
      <c r="H33" s="9">
        <v>64</v>
      </c>
      <c r="I33" s="9">
        <v>1</v>
      </c>
      <c r="J33" s="9">
        <v>32</v>
      </c>
      <c r="K33" s="9">
        <v>32</v>
      </c>
      <c r="L33" s="9">
        <v>1</v>
      </c>
      <c r="M33" s="9">
        <v>1</v>
      </c>
      <c r="N33" s="9">
        <v>2</v>
      </c>
      <c r="O33" s="9">
        <v>2048</v>
      </c>
      <c r="P33" s="18">
        <f t="shared" si="0"/>
        <v>3.3234769675999996</v>
      </c>
      <c r="Q33" s="21">
        <f t="shared" si="1"/>
        <v>13</v>
      </c>
      <c r="R33" s="22">
        <f t="shared" si="2"/>
        <v>43.205200578799996</v>
      </c>
    </row>
    <row r="34" spans="1:18" x14ac:dyDescent="0.25">
      <c r="A34" t="s">
        <v>37</v>
      </c>
      <c r="B34">
        <v>1.6668179999999999</v>
      </c>
      <c r="C34">
        <v>2.1402999999999998E-2</v>
      </c>
      <c r="D34">
        <v>7.6000000000000004E-5</v>
      </c>
      <c r="E34">
        <v>0.170211</v>
      </c>
      <c r="F34" s="8" t="s">
        <v>185</v>
      </c>
      <c r="G34" s="9" t="s">
        <v>184</v>
      </c>
      <c r="H34" s="9">
        <v>64</v>
      </c>
      <c r="I34" s="9">
        <v>1</v>
      </c>
      <c r="J34" s="9">
        <v>32</v>
      </c>
      <c r="K34" s="9">
        <v>32</v>
      </c>
      <c r="L34" s="9">
        <v>1</v>
      </c>
      <c r="M34" s="9">
        <v>1</v>
      </c>
      <c r="N34" s="9">
        <v>2</v>
      </c>
      <c r="O34" s="9">
        <v>4096</v>
      </c>
      <c r="P34" s="18">
        <f t="shared" si="0"/>
        <v>3.2472042069000002</v>
      </c>
      <c r="Q34" s="21">
        <f t="shared" si="1"/>
        <v>13.5</v>
      </c>
      <c r="R34" s="22">
        <f t="shared" si="2"/>
        <v>43.837256793150004</v>
      </c>
    </row>
    <row r="35" spans="1:18" ht="15.75" thickBot="1" x14ac:dyDescent="0.3">
      <c r="A35" t="s">
        <v>38</v>
      </c>
      <c r="B35">
        <v>1.727746</v>
      </c>
      <c r="C35">
        <v>2.1398E-2</v>
      </c>
      <c r="D35">
        <v>7.6000000000000004E-5</v>
      </c>
      <c r="E35">
        <v>0.27181100000000002</v>
      </c>
      <c r="F35" s="10" t="s">
        <v>185</v>
      </c>
      <c r="G35" s="11" t="s">
        <v>184</v>
      </c>
      <c r="H35" s="11">
        <v>64</v>
      </c>
      <c r="I35" s="11">
        <v>1</v>
      </c>
      <c r="J35" s="11">
        <v>32</v>
      </c>
      <c r="K35" s="11">
        <v>32</v>
      </c>
      <c r="L35" s="11">
        <v>1</v>
      </c>
      <c r="M35" s="11">
        <v>1</v>
      </c>
      <c r="N35" s="11">
        <v>2</v>
      </c>
      <c r="O35" s="11">
        <v>512</v>
      </c>
      <c r="P35" s="19">
        <f t="shared" si="0"/>
        <v>3.5261729414</v>
      </c>
      <c r="Q35" s="23">
        <f t="shared" si="1"/>
        <v>12.625</v>
      </c>
      <c r="R35" s="24">
        <f t="shared" si="2"/>
        <v>44.517933385174999</v>
      </c>
    </row>
    <row r="36" spans="1:18" x14ac:dyDescent="0.25">
      <c r="A36" t="s">
        <v>39</v>
      </c>
      <c r="B36">
        <v>3.7784900000000001</v>
      </c>
      <c r="C36">
        <v>3.8850000000000003E-2</v>
      </c>
      <c r="D36">
        <v>5.8011E-2</v>
      </c>
      <c r="E36">
        <v>0.85604100000000005</v>
      </c>
      <c r="F36" s="8" t="s">
        <v>186</v>
      </c>
      <c r="G36" s="9" t="s">
        <v>190</v>
      </c>
      <c r="H36" s="9">
        <v>128</v>
      </c>
      <c r="I36" s="9">
        <v>1</v>
      </c>
      <c r="J36" s="9">
        <v>32</v>
      </c>
      <c r="K36" s="9">
        <v>32</v>
      </c>
      <c r="L36" s="9">
        <v>1</v>
      </c>
      <c r="M36" s="9">
        <v>1</v>
      </c>
      <c r="N36" s="9">
        <v>2</v>
      </c>
      <c r="O36" s="9">
        <v>512</v>
      </c>
      <c r="P36" s="18">
        <f t="shared" si="0"/>
        <v>14.0387987301</v>
      </c>
      <c r="Q36" s="21">
        <f t="shared" si="1"/>
        <v>17.625</v>
      </c>
      <c r="R36" s="22">
        <f t="shared" si="2"/>
        <v>247.43382761801249</v>
      </c>
    </row>
    <row r="37" spans="1:18" x14ac:dyDescent="0.25">
      <c r="A37" t="s">
        <v>40</v>
      </c>
      <c r="B37">
        <v>6.2138</v>
      </c>
      <c r="C37">
        <v>7.7135999999999996E-2</v>
      </c>
      <c r="D37">
        <v>0.10876</v>
      </c>
      <c r="E37">
        <v>0.94686000000000003</v>
      </c>
      <c r="F37" s="8" t="s">
        <v>186</v>
      </c>
      <c r="G37" s="9" t="s">
        <v>190</v>
      </c>
      <c r="H37" s="9">
        <v>32</v>
      </c>
      <c r="I37" s="9">
        <v>1</v>
      </c>
      <c r="J37" s="9">
        <v>32</v>
      </c>
      <c r="K37" s="9">
        <v>32</v>
      </c>
      <c r="L37" s="9">
        <v>1</v>
      </c>
      <c r="M37" s="9">
        <v>1</v>
      </c>
      <c r="N37" s="9">
        <v>2</v>
      </c>
      <c r="O37" s="9">
        <v>512</v>
      </c>
      <c r="P37" s="18">
        <f t="shared" si="0"/>
        <v>26.674508656</v>
      </c>
      <c r="Q37" s="21">
        <f t="shared" si="1"/>
        <v>10.125</v>
      </c>
      <c r="R37" s="22">
        <f t="shared" si="2"/>
        <v>270.079400142</v>
      </c>
    </row>
    <row r="38" spans="1:18" x14ac:dyDescent="0.25">
      <c r="A38" t="s">
        <v>41</v>
      </c>
      <c r="B38">
        <v>4.5237769999999999</v>
      </c>
      <c r="C38">
        <v>5.4128999999999997E-2</v>
      </c>
      <c r="D38">
        <v>7.7973000000000001E-2</v>
      </c>
      <c r="E38">
        <v>0.89292199999999999</v>
      </c>
      <c r="F38" s="8" t="s">
        <v>186</v>
      </c>
      <c r="G38" s="9" t="s">
        <v>190</v>
      </c>
      <c r="H38" s="9">
        <v>64</v>
      </c>
      <c r="I38" s="9">
        <v>1</v>
      </c>
      <c r="J38" s="9">
        <v>32</v>
      </c>
      <c r="K38" s="9">
        <v>32</v>
      </c>
      <c r="L38" s="9">
        <v>1</v>
      </c>
      <c r="M38" s="9">
        <v>1</v>
      </c>
      <c r="N38" s="9">
        <v>2</v>
      </c>
      <c r="O38" s="9">
        <v>512</v>
      </c>
      <c r="P38" s="18">
        <f t="shared" si="0"/>
        <v>18.640475204399998</v>
      </c>
      <c r="Q38" s="21">
        <f t="shared" si="1"/>
        <v>12.625</v>
      </c>
      <c r="R38" s="22">
        <f t="shared" si="2"/>
        <v>235.33599945554997</v>
      </c>
    </row>
    <row r="39" spans="1:18" x14ac:dyDescent="0.25">
      <c r="A39" t="s">
        <v>42</v>
      </c>
      <c r="B39">
        <v>4.5237769999999999</v>
      </c>
      <c r="C39">
        <v>5.4128999999999997E-2</v>
      </c>
      <c r="D39">
        <v>7.7973000000000001E-2</v>
      </c>
      <c r="E39">
        <v>0.89292199999999999</v>
      </c>
      <c r="F39" s="8" t="s">
        <v>186</v>
      </c>
      <c r="G39" s="9" t="s">
        <v>195</v>
      </c>
      <c r="H39" s="9">
        <v>64</v>
      </c>
      <c r="I39" s="9">
        <v>1</v>
      </c>
      <c r="J39" s="9">
        <v>32</v>
      </c>
      <c r="K39" s="9">
        <v>32</v>
      </c>
      <c r="L39" s="9">
        <v>1</v>
      </c>
      <c r="M39" s="9">
        <v>1</v>
      </c>
      <c r="N39" s="9">
        <v>2</v>
      </c>
      <c r="O39" s="9">
        <v>512</v>
      </c>
      <c r="P39" s="18">
        <f t="shared" si="0"/>
        <v>18.640475204399998</v>
      </c>
      <c r="Q39" s="21">
        <f t="shared" si="1"/>
        <v>12.625</v>
      </c>
      <c r="R39" s="22">
        <f t="shared" si="2"/>
        <v>235.33599945554997</v>
      </c>
    </row>
    <row r="40" spans="1:18" x14ac:dyDescent="0.25">
      <c r="A40" t="s">
        <v>43</v>
      </c>
      <c r="B40">
        <v>4.4505759999999999</v>
      </c>
      <c r="C40">
        <v>4.4306999999999999E-2</v>
      </c>
      <c r="D40">
        <v>7.7877000000000002E-2</v>
      </c>
      <c r="E40">
        <v>0.95719799999999999</v>
      </c>
      <c r="F40" s="8" t="s">
        <v>186</v>
      </c>
      <c r="G40" s="9" t="s">
        <v>191</v>
      </c>
      <c r="H40" s="9">
        <v>64</v>
      </c>
      <c r="I40" s="9">
        <v>1</v>
      </c>
      <c r="J40" s="9">
        <v>128</v>
      </c>
      <c r="K40" s="9">
        <v>128</v>
      </c>
      <c r="L40" s="9">
        <v>1</v>
      </c>
      <c r="M40" s="9">
        <v>1</v>
      </c>
      <c r="N40" s="9">
        <v>2</v>
      </c>
      <c r="O40" s="9">
        <v>512</v>
      </c>
      <c r="P40" s="18">
        <f t="shared" si="0"/>
        <v>18.367844043200002</v>
      </c>
      <c r="Q40" s="21">
        <f t="shared" si="1"/>
        <v>27.625</v>
      </c>
      <c r="R40" s="22">
        <f t="shared" si="2"/>
        <v>507.41169169340003</v>
      </c>
    </row>
    <row r="41" spans="1:18" x14ac:dyDescent="0.25">
      <c r="A41" t="s">
        <v>44</v>
      </c>
      <c r="B41">
        <v>4.5746890000000002</v>
      </c>
      <c r="C41">
        <v>4.4297000000000003E-2</v>
      </c>
      <c r="D41">
        <v>9.2743000000000006E-2</v>
      </c>
      <c r="E41">
        <v>0.84974099999999997</v>
      </c>
      <c r="F41" s="8" t="s">
        <v>186</v>
      </c>
      <c r="G41" s="9" t="s">
        <v>191</v>
      </c>
      <c r="H41" s="9">
        <v>64</v>
      </c>
      <c r="I41" s="9">
        <v>1</v>
      </c>
      <c r="J41" s="9">
        <v>128</v>
      </c>
      <c r="K41" s="9">
        <v>16</v>
      </c>
      <c r="L41" s="9">
        <v>1</v>
      </c>
      <c r="M41" s="9">
        <v>1</v>
      </c>
      <c r="N41" s="9">
        <v>2</v>
      </c>
      <c r="O41" s="9">
        <v>512</v>
      </c>
      <c r="P41" s="18">
        <f t="shared" si="0"/>
        <v>18.589939663999999</v>
      </c>
      <c r="Q41" s="21">
        <f t="shared" si="1"/>
        <v>18.875</v>
      </c>
      <c r="R41" s="22">
        <f t="shared" si="2"/>
        <v>350.88511115799997</v>
      </c>
    </row>
    <row r="42" spans="1:18" x14ac:dyDescent="0.25">
      <c r="A42" t="s">
        <v>45</v>
      </c>
      <c r="B42">
        <v>4.4837040000000004</v>
      </c>
      <c r="C42">
        <v>4.4316000000000001E-2</v>
      </c>
      <c r="D42">
        <v>8.2461000000000007E-2</v>
      </c>
      <c r="E42">
        <v>0.92134799999999994</v>
      </c>
      <c r="F42" s="8" t="s">
        <v>186</v>
      </c>
      <c r="G42" s="9" t="s">
        <v>191</v>
      </c>
      <c r="H42" s="9">
        <v>64</v>
      </c>
      <c r="I42" s="9">
        <v>1</v>
      </c>
      <c r="J42" s="9">
        <v>128</v>
      </c>
      <c r="K42" s="9">
        <v>32</v>
      </c>
      <c r="L42" s="9">
        <v>1</v>
      </c>
      <c r="M42" s="9">
        <v>1</v>
      </c>
      <c r="N42" s="9">
        <v>2</v>
      </c>
      <c r="O42" s="9">
        <v>512</v>
      </c>
      <c r="P42" s="18">
        <f t="shared" si="0"/>
        <v>18.432047539599999</v>
      </c>
      <c r="Q42" s="21">
        <f t="shared" si="1"/>
        <v>20.125</v>
      </c>
      <c r="R42" s="22">
        <f t="shared" si="2"/>
        <v>370.94495673444999</v>
      </c>
    </row>
    <row r="43" spans="1:18" x14ac:dyDescent="0.25">
      <c r="A43" t="s">
        <v>46</v>
      </c>
      <c r="B43">
        <v>4.4505759999999999</v>
      </c>
      <c r="C43">
        <v>4.4306999999999999E-2</v>
      </c>
      <c r="D43">
        <v>7.8312000000000007E-2</v>
      </c>
      <c r="E43">
        <v>0.953488</v>
      </c>
      <c r="F43" s="8" t="s">
        <v>186</v>
      </c>
      <c r="G43" s="9" t="s">
        <v>191</v>
      </c>
      <c r="H43" s="9">
        <v>64</v>
      </c>
      <c r="I43" s="9">
        <v>1</v>
      </c>
      <c r="J43" s="9">
        <v>128</v>
      </c>
      <c r="K43" s="9">
        <v>64</v>
      </c>
      <c r="L43" s="9">
        <v>1</v>
      </c>
      <c r="M43" s="9">
        <v>1</v>
      </c>
      <c r="N43" s="9">
        <v>2</v>
      </c>
      <c r="O43" s="9">
        <v>512</v>
      </c>
      <c r="P43" s="18">
        <f t="shared" si="0"/>
        <v>18.368340507200003</v>
      </c>
      <c r="Q43" s="21">
        <f t="shared" si="1"/>
        <v>22.625</v>
      </c>
      <c r="R43" s="22">
        <f t="shared" si="2"/>
        <v>415.58370397540006</v>
      </c>
    </row>
    <row r="44" spans="1:18" x14ac:dyDescent="0.25">
      <c r="A44" t="s">
        <v>47</v>
      </c>
      <c r="B44">
        <v>4.5840009999999998</v>
      </c>
      <c r="C44">
        <v>6.1377000000000001E-2</v>
      </c>
      <c r="D44">
        <v>7.7204999999999996E-2</v>
      </c>
      <c r="E44">
        <v>0.84681600000000001</v>
      </c>
      <c r="F44" s="8" t="s">
        <v>186</v>
      </c>
      <c r="G44" s="9" t="s">
        <v>191</v>
      </c>
      <c r="H44" s="9">
        <v>64</v>
      </c>
      <c r="I44" s="9">
        <v>1</v>
      </c>
      <c r="J44" s="9">
        <v>16</v>
      </c>
      <c r="K44" s="9">
        <v>128</v>
      </c>
      <c r="L44" s="9">
        <v>1</v>
      </c>
      <c r="M44" s="9">
        <v>1</v>
      </c>
      <c r="N44" s="9">
        <v>2</v>
      </c>
      <c r="O44" s="9">
        <v>512</v>
      </c>
      <c r="P44" s="18">
        <f t="shared" si="0"/>
        <v>18.7051664912</v>
      </c>
      <c r="Q44" s="21">
        <f t="shared" si="1"/>
        <v>18.875</v>
      </c>
      <c r="R44" s="22">
        <f t="shared" si="2"/>
        <v>353.06001752140003</v>
      </c>
    </row>
    <row r="45" spans="1:18" x14ac:dyDescent="0.25">
      <c r="A45" t="s">
        <v>48</v>
      </c>
      <c r="B45">
        <v>4.645905</v>
      </c>
      <c r="C45">
        <v>6.1364000000000002E-2</v>
      </c>
      <c r="D45">
        <v>9.2370999999999995E-2</v>
      </c>
      <c r="E45">
        <v>0.75925900000000002</v>
      </c>
      <c r="F45" s="8" t="s">
        <v>186</v>
      </c>
      <c r="G45" s="9" t="s">
        <v>191</v>
      </c>
      <c r="H45" s="9">
        <v>64</v>
      </c>
      <c r="I45" s="9">
        <v>1</v>
      </c>
      <c r="J45" s="9">
        <v>16</v>
      </c>
      <c r="K45" s="9">
        <v>16</v>
      </c>
      <c r="L45" s="9">
        <v>1</v>
      </c>
      <c r="M45" s="9">
        <v>1</v>
      </c>
      <c r="N45" s="9">
        <v>2</v>
      </c>
      <c r="O45" s="9">
        <v>512</v>
      </c>
      <c r="P45" s="18">
        <f t="shared" si="0"/>
        <v>18.855723236500001</v>
      </c>
      <c r="Q45" s="21">
        <f t="shared" si="1"/>
        <v>10.125</v>
      </c>
      <c r="R45" s="22">
        <f t="shared" si="2"/>
        <v>190.91419776956252</v>
      </c>
    </row>
    <row r="46" spans="1:18" x14ac:dyDescent="0.25">
      <c r="A46" t="s">
        <v>49</v>
      </c>
      <c r="B46">
        <v>4.6223190000000001</v>
      </c>
      <c r="C46">
        <v>6.139E-2</v>
      </c>
      <c r="D46">
        <v>8.1946000000000005E-2</v>
      </c>
      <c r="E46">
        <v>0.817276</v>
      </c>
      <c r="F46" s="8" t="s">
        <v>186</v>
      </c>
      <c r="G46" s="9" t="s">
        <v>191</v>
      </c>
      <c r="H46" s="9">
        <v>64</v>
      </c>
      <c r="I46" s="9">
        <v>1</v>
      </c>
      <c r="J46" s="9">
        <v>16</v>
      </c>
      <c r="K46" s="9">
        <v>32</v>
      </c>
      <c r="L46" s="9">
        <v>1</v>
      </c>
      <c r="M46" s="9">
        <v>1</v>
      </c>
      <c r="N46" s="9">
        <v>2</v>
      </c>
      <c r="O46" s="9">
        <v>512</v>
      </c>
      <c r="P46" s="18">
        <f t="shared" si="0"/>
        <v>18.7701862736</v>
      </c>
      <c r="Q46" s="21">
        <f t="shared" si="1"/>
        <v>11.375</v>
      </c>
      <c r="R46" s="22">
        <f t="shared" si="2"/>
        <v>213.5108688622</v>
      </c>
    </row>
    <row r="47" spans="1:18" x14ac:dyDescent="0.25">
      <c r="A47" t="s">
        <v>50</v>
      </c>
      <c r="B47">
        <v>4.585833</v>
      </c>
      <c r="C47">
        <v>6.1377000000000001E-2</v>
      </c>
      <c r="D47">
        <v>7.7635999999999997E-2</v>
      </c>
      <c r="E47">
        <v>0.84391099999999997</v>
      </c>
      <c r="F47" s="8" t="s">
        <v>186</v>
      </c>
      <c r="G47" s="9" t="s">
        <v>191</v>
      </c>
      <c r="H47" s="9">
        <v>64</v>
      </c>
      <c r="I47" s="9">
        <v>1</v>
      </c>
      <c r="J47" s="9">
        <v>16</v>
      </c>
      <c r="K47" s="9">
        <v>64</v>
      </c>
      <c r="L47" s="9">
        <v>1</v>
      </c>
      <c r="M47" s="9">
        <v>1</v>
      </c>
      <c r="N47" s="9">
        <v>2</v>
      </c>
      <c r="O47" s="9">
        <v>512</v>
      </c>
      <c r="P47" s="18">
        <f t="shared" si="0"/>
        <v>18.707422984299999</v>
      </c>
      <c r="Q47" s="21">
        <f t="shared" si="1"/>
        <v>13.875</v>
      </c>
      <c r="R47" s="22">
        <f t="shared" si="2"/>
        <v>259.56549390716248</v>
      </c>
    </row>
    <row r="48" spans="1:18" x14ac:dyDescent="0.25">
      <c r="A48" t="s">
        <v>51</v>
      </c>
      <c r="B48">
        <v>4.5163729999999997</v>
      </c>
      <c r="C48">
        <v>5.4128999999999997E-2</v>
      </c>
      <c r="D48">
        <v>7.7539999999999998E-2</v>
      </c>
      <c r="E48">
        <v>0.89617500000000005</v>
      </c>
      <c r="F48" s="8" t="s">
        <v>186</v>
      </c>
      <c r="G48" s="9" t="s">
        <v>191</v>
      </c>
      <c r="H48" s="9">
        <v>64</v>
      </c>
      <c r="I48" s="9">
        <v>1</v>
      </c>
      <c r="J48" s="9">
        <v>32</v>
      </c>
      <c r="K48" s="9">
        <v>128</v>
      </c>
      <c r="L48" s="9">
        <v>1</v>
      </c>
      <c r="M48" s="9">
        <v>1</v>
      </c>
      <c r="N48" s="9">
        <v>2</v>
      </c>
      <c r="O48" s="9">
        <v>512</v>
      </c>
      <c r="P48" s="18">
        <f t="shared" si="0"/>
        <v>18.632909607499997</v>
      </c>
      <c r="Q48" s="21">
        <f t="shared" si="1"/>
        <v>20.125</v>
      </c>
      <c r="R48" s="22">
        <f t="shared" si="2"/>
        <v>374.98730585093745</v>
      </c>
    </row>
    <row r="49" spans="1:18" x14ac:dyDescent="0.25">
      <c r="A49" t="s">
        <v>52</v>
      </c>
      <c r="B49">
        <v>4.633845</v>
      </c>
      <c r="C49">
        <v>5.4117999999999999E-2</v>
      </c>
      <c r="D49">
        <v>9.2795000000000002E-2</v>
      </c>
      <c r="E49">
        <v>0.79870099999999999</v>
      </c>
      <c r="F49" s="8" t="s">
        <v>186</v>
      </c>
      <c r="G49" s="9" t="s">
        <v>191</v>
      </c>
      <c r="H49" s="9">
        <v>64</v>
      </c>
      <c r="I49" s="9">
        <v>1</v>
      </c>
      <c r="J49" s="9">
        <v>32</v>
      </c>
      <c r="K49" s="9">
        <v>16</v>
      </c>
      <c r="L49" s="9">
        <v>1</v>
      </c>
      <c r="M49" s="9">
        <v>1</v>
      </c>
      <c r="N49" s="9">
        <v>2</v>
      </c>
      <c r="O49" s="9">
        <v>512</v>
      </c>
      <c r="P49" s="18">
        <f t="shared" si="0"/>
        <v>18.836931001300002</v>
      </c>
      <c r="Q49" s="21">
        <f t="shared" si="1"/>
        <v>11.375</v>
      </c>
      <c r="R49" s="22">
        <f t="shared" si="2"/>
        <v>214.27009013978753</v>
      </c>
    </row>
    <row r="50" spans="1:18" x14ac:dyDescent="0.25">
      <c r="A50" t="s">
        <v>53</v>
      </c>
      <c r="B50">
        <v>4.5672090000000001</v>
      </c>
      <c r="C50">
        <v>5.4141000000000002E-2</v>
      </c>
      <c r="D50">
        <v>8.2102999999999995E-2</v>
      </c>
      <c r="E50">
        <v>0.86467499999999997</v>
      </c>
      <c r="F50" s="8" t="s">
        <v>186</v>
      </c>
      <c r="G50" s="9" t="s">
        <v>191</v>
      </c>
      <c r="H50" s="9">
        <v>64</v>
      </c>
      <c r="I50" s="9">
        <v>1</v>
      </c>
      <c r="J50" s="9">
        <v>32</v>
      </c>
      <c r="K50" s="9">
        <v>32</v>
      </c>
      <c r="L50" s="9">
        <v>1</v>
      </c>
      <c r="M50" s="9">
        <v>1</v>
      </c>
      <c r="N50" s="9">
        <v>2</v>
      </c>
      <c r="O50" s="9">
        <v>512</v>
      </c>
      <c r="P50" s="18">
        <f t="shared" si="0"/>
        <v>18.710327069999998</v>
      </c>
      <c r="Q50" s="21">
        <f t="shared" si="1"/>
        <v>12.625</v>
      </c>
      <c r="R50" s="22">
        <f t="shared" si="2"/>
        <v>236.21787925874997</v>
      </c>
    </row>
    <row r="51" spans="1:18" x14ac:dyDescent="0.25">
      <c r="A51" t="s">
        <v>54</v>
      </c>
      <c r="B51">
        <v>4.5237769999999999</v>
      </c>
      <c r="C51">
        <v>5.4128999999999997E-2</v>
      </c>
      <c r="D51">
        <v>7.7973000000000001E-2</v>
      </c>
      <c r="E51">
        <v>0.89292199999999999</v>
      </c>
      <c r="F51" s="8" t="s">
        <v>186</v>
      </c>
      <c r="G51" s="9" t="s">
        <v>191</v>
      </c>
      <c r="H51" s="9">
        <v>64</v>
      </c>
      <c r="I51" s="9">
        <v>1</v>
      </c>
      <c r="J51" s="9">
        <v>32</v>
      </c>
      <c r="K51" s="9">
        <v>64</v>
      </c>
      <c r="L51" s="9">
        <v>1</v>
      </c>
      <c r="M51" s="9">
        <v>1</v>
      </c>
      <c r="N51" s="9">
        <v>2</v>
      </c>
      <c r="O51" s="9">
        <v>512</v>
      </c>
      <c r="P51" s="18">
        <f t="shared" si="0"/>
        <v>18.640475204399998</v>
      </c>
      <c r="Q51" s="21">
        <f t="shared" si="1"/>
        <v>15.125</v>
      </c>
      <c r="R51" s="22">
        <f t="shared" si="2"/>
        <v>281.93718746654997</v>
      </c>
    </row>
    <row r="52" spans="1:18" x14ac:dyDescent="0.25">
      <c r="A52" t="s">
        <v>55</v>
      </c>
      <c r="B52">
        <v>4.4505759999999999</v>
      </c>
      <c r="C52">
        <v>4.4306999999999999E-2</v>
      </c>
      <c r="D52">
        <v>7.7877000000000002E-2</v>
      </c>
      <c r="E52">
        <v>0.95719799999999999</v>
      </c>
      <c r="F52" s="8" t="s">
        <v>186</v>
      </c>
      <c r="G52" s="9" t="s">
        <v>191</v>
      </c>
      <c r="H52" s="9">
        <v>64</v>
      </c>
      <c r="I52" s="9">
        <v>1</v>
      </c>
      <c r="J52" s="9">
        <v>64</v>
      </c>
      <c r="K52" s="9">
        <v>128</v>
      </c>
      <c r="L52" s="9">
        <v>1</v>
      </c>
      <c r="M52" s="9">
        <v>1</v>
      </c>
      <c r="N52" s="9">
        <v>2</v>
      </c>
      <c r="O52" s="9">
        <v>512</v>
      </c>
      <c r="P52" s="18">
        <f t="shared" si="0"/>
        <v>18.367844043200002</v>
      </c>
      <c r="Q52" s="21">
        <f t="shared" si="1"/>
        <v>22.625</v>
      </c>
      <c r="R52" s="22">
        <f t="shared" si="2"/>
        <v>415.57247147740003</v>
      </c>
    </row>
    <row r="53" spans="1:18" x14ac:dyDescent="0.25">
      <c r="A53" t="s">
        <v>56</v>
      </c>
      <c r="B53">
        <v>4.5746890000000002</v>
      </c>
      <c r="C53">
        <v>4.4297000000000003E-2</v>
      </c>
      <c r="D53">
        <v>9.2743000000000006E-2</v>
      </c>
      <c r="E53">
        <v>0.84974099999999997</v>
      </c>
      <c r="F53" s="8" t="s">
        <v>186</v>
      </c>
      <c r="G53" s="9" t="s">
        <v>191</v>
      </c>
      <c r="H53" s="9">
        <v>64</v>
      </c>
      <c r="I53" s="9">
        <v>1</v>
      </c>
      <c r="J53" s="9">
        <v>64</v>
      </c>
      <c r="K53" s="9">
        <v>16</v>
      </c>
      <c r="L53" s="9">
        <v>1</v>
      </c>
      <c r="M53" s="9">
        <v>1</v>
      </c>
      <c r="N53" s="9">
        <v>2</v>
      </c>
      <c r="O53" s="9">
        <v>512</v>
      </c>
      <c r="P53" s="18">
        <f t="shared" si="0"/>
        <v>18.589939663999999</v>
      </c>
      <c r="Q53" s="21">
        <f t="shared" si="1"/>
        <v>13.875</v>
      </c>
      <c r="R53" s="22">
        <f t="shared" si="2"/>
        <v>257.93541283799999</v>
      </c>
    </row>
    <row r="54" spans="1:18" x14ac:dyDescent="0.25">
      <c r="A54" t="s">
        <v>57</v>
      </c>
      <c r="B54">
        <v>4.4837040000000004</v>
      </c>
      <c r="C54">
        <v>4.4316000000000001E-2</v>
      </c>
      <c r="D54">
        <v>8.2461000000000007E-2</v>
      </c>
      <c r="E54">
        <v>0.92134799999999994</v>
      </c>
      <c r="F54" s="8" t="s">
        <v>186</v>
      </c>
      <c r="G54" s="9" t="s">
        <v>191</v>
      </c>
      <c r="H54" s="9">
        <v>64</v>
      </c>
      <c r="I54" s="9">
        <v>1</v>
      </c>
      <c r="J54" s="9">
        <v>64</v>
      </c>
      <c r="K54" s="9">
        <v>32</v>
      </c>
      <c r="L54" s="9">
        <v>1</v>
      </c>
      <c r="M54" s="9">
        <v>1</v>
      </c>
      <c r="N54" s="9">
        <v>2</v>
      </c>
      <c r="O54" s="9">
        <v>512</v>
      </c>
      <c r="P54" s="18">
        <f t="shared" si="0"/>
        <v>18.432047539599999</v>
      </c>
      <c r="Q54" s="21">
        <f t="shared" si="1"/>
        <v>15.125</v>
      </c>
      <c r="R54" s="22">
        <f t="shared" si="2"/>
        <v>278.78471903644999</v>
      </c>
    </row>
    <row r="55" spans="1:18" x14ac:dyDescent="0.25">
      <c r="A55" t="s">
        <v>58</v>
      </c>
      <c r="B55">
        <v>4.4505759999999999</v>
      </c>
      <c r="C55">
        <v>4.4306999999999999E-2</v>
      </c>
      <c r="D55">
        <v>7.8312000000000007E-2</v>
      </c>
      <c r="E55">
        <v>0.953488</v>
      </c>
      <c r="F55" s="8" t="s">
        <v>186</v>
      </c>
      <c r="G55" s="9" t="s">
        <v>191</v>
      </c>
      <c r="H55" s="9">
        <v>64</v>
      </c>
      <c r="I55" s="9">
        <v>1</v>
      </c>
      <c r="J55" s="9">
        <v>64</v>
      </c>
      <c r="K55" s="9">
        <v>64</v>
      </c>
      <c r="L55" s="9">
        <v>1</v>
      </c>
      <c r="M55" s="9">
        <v>1</v>
      </c>
      <c r="N55" s="9">
        <v>2</v>
      </c>
      <c r="O55" s="9">
        <v>512</v>
      </c>
      <c r="P55" s="18">
        <f t="shared" si="0"/>
        <v>18.368340507200003</v>
      </c>
      <c r="Q55" s="21">
        <f t="shared" si="1"/>
        <v>17.625</v>
      </c>
      <c r="R55" s="22">
        <f t="shared" si="2"/>
        <v>323.74200143940004</v>
      </c>
    </row>
    <row r="56" spans="1:18" x14ac:dyDescent="0.25">
      <c r="A56" t="s">
        <v>59</v>
      </c>
      <c r="B56">
        <v>4.5237769999999999</v>
      </c>
      <c r="C56">
        <v>5.4128999999999997E-2</v>
      </c>
      <c r="D56">
        <v>7.7973000000000001E-2</v>
      </c>
      <c r="E56">
        <v>0.89292199999999999</v>
      </c>
      <c r="F56" s="8" t="s">
        <v>186</v>
      </c>
      <c r="G56" s="9" t="s">
        <v>192</v>
      </c>
      <c r="H56" s="9">
        <v>64</v>
      </c>
      <c r="I56" s="9">
        <v>1</v>
      </c>
      <c r="J56" s="9">
        <v>32</v>
      </c>
      <c r="K56" s="9">
        <v>32</v>
      </c>
      <c r="L56" s="9">
        <v>1</v>
      </c>
      <c r="M56" s="9">
        <v>1</v>
      </c>
      <c r="N56" s="9">
        <v>2</v>
      </c>
      <c r="O56" s="9">
        <v>512</v>
      </c>
      <c r="P56" s="18">
        <f t="shared" si="0"/>
        <v>18.640475204399998</v>
      </c>
      <c r="Q56" s="21">
        <f t="shared" si="1"/>
        <v>12.625</v>
      </c>
      <c r="R56" s="22">
        <f t="shared" si="2"/>
        <v>235.33599945554997</v>
      </c>
    </row>
    <row r="57" spans="1:18" x14ac:dyDescent="0.25">
      <c r="A57" t="s">
        <v>60</v>
      </c>
      <c r="B57">
        <v>4.4505759999999999</v>
      </c>
      <c r="C57">
        <v>4.4734999999999997E-2</v>
      </c>
      <c r="D57">
        <v>7.8260999999999997E-2</v>
      </c>
      <c r="E57">
        <v>0.94980699999999996</v>
      </c>
      <c r="F57" s="8" t="s">
        <v>186</v>
      </c>
      <c r="G57" s="9" t="s">
        <v>192</v>
      </c>
      <c r="H57" s="9">
        <v>64</v>
      </c>
      <c r="I57" s="9">
        <v>1</v>
      </c>
      <c r="J57" s="9">
        <v>32</v>
      </c>
      <c r="K57" s="9">
        <v>32</v>
      </c>
      <c r="L57" s="9">
        <v>2</v>
      </c>
      <c r="M57" s="9">
        <v>1</v>
      </c>
      <c r="N57" s="9">
        <v>2</v>
      </c>
      <c r="O57" s="9">
        <v>512</v>
      </c>
      <c r="P57" s="18">
        <f t="shared" si="0"/>
        <v>18.3627821772</v>
      </c>
      <c r="Q57" s="21">
        <f t="shared" si="1"/>
        <v>15.125</v>
      </c>
      <c r="R57" s="22">
        <f t="shared" si="2"/>
        <v>277.73708043015</v>
      </c>
    </row>
    <row r="58" spans="1:18" x14ac:dyDescent="0.25">
      <c r="A58" t="s">
        <v>61</v>
      </c>
      <c r="B58">
        <v>4.4505759999999999</v>
      </c>
      <c r="C58">
        <v>4.4306999999999999E-2</v>
      </c>
      <c r="D58">
        <v>7.8312000000000007E-2</v>
      </c>
      <c r="E58">
        <v>0.953488</v>
      </c>
      <c r="F58" s="8" t="s">
        <v>186</v>
      </c>
      <c r="G58" s="9" t="s">
        <v>192</v>
      </c>
      <c r="H58" s="9">
        <v>64</v>
      </c>
      <c r="I58" s="9">
        <v>1</v>
      </c>
      <c r="J58" s="9">
        <v>32</v>
      </c>
      <c r="K58" s="9">
        <v>32</v>
      </c>
      <c r="L58" s="9">
        <v>4</v>
      </c>
      <c r="M58" s="9">
        <v>1</v>
      </c>
      <c r="N58" s="9">
        <v>2</v>
      </c>
      <c r="O58" s="9">
        <v>512</v>
      </c>
      <c r="P58" s="18">
        <f t="shared" si="0"/>
        <v>18.368340507200003</v>
      </c>
      <c r="Q58" s="21">
        <f t="shared" si="1"/>
        <v>20.125</v>
      </c>
      <c r="R58" s="22">
        <f t="shared" si="2"/>
        <v>369.66285270740008</v>
      </c>
    </row>
    <row r="59" spans="1:18" x14ac:dyDescent="0.25">
      <c r="A59" t="s">
        <v>62</v>
      </c>
      <c r="B59">
        <v>4.5237769999999999</v>
      </c>
      <c r="C59">
        <v>5.4128999999999997E-2</v>
      </c>
      <c r="D59">
        <v>7.7973000000000001E-2</v>
      </c>
      <c r="E59">
        <v>0.89292199999999999</v>
      </c>
      <c r="F59" s="8" t="s">
        <v>186</v>
      </c>
      <c r="G59" s="9" t="s">
        <v>193</v>
      </c>
      <c r="H59" s="9">
        <v>64</v>
      </c>
      <c r="I59" s="9">
        <v>1</v>
      </c>
      <c r="J59" s="9">
        <v>32</v>
      </c>
      <c r="K59" s="9">
        <v>32</v>
      </c>
      <c r="L59" s="9">
        <v>1</v>
      </c>
      <c r="M59" s="9">
        <v>1</v>
      </c>
      <c r="N59" s="9">
        <v>2</v>
      </c>
      <c r="O59" s="9">
        <v>512</v>
      </c>
      <c r="P59" s="18">
        <f t="shared" si="0"/>
        <v>18.640475204399998</v>
      </c>
      <c r="Q59" s="21">
        <f t="shared" si="1"/>
        <v>12.625</v>
      </c>
      <c r="R59" s="22">
        <f t="shared" si="2"/>
        <v>235.33599945554997</v>
      </c>
    </row>
    <row r="60" spans="1:18" x14ac:dyDescent="0.25">
      <c r="A60" t="s">
        <v>63</v>
      </c>
      <c r="B60">
        <v>4.5163729999999997</v>
      </c>
      <c r="C60">
        <v>5.4128999999999997E-2</v>
      </c>
      <c r="D60">
        <v>7.7306E-2</v>
      </c>
      <c r="E60">
        <v>0.89781</v>
      </c>
      <c r="F60" s="8" t="s">
        <v>186</v>
      </c>
      <c r="G60" s="9" t="s">
        <v>193</v>
      </c>
      <c r="H60" s="9">
        <v>64</v>
      </c>
      <c r="I60" s="9">
        <v>1</v>
      </c>
      <c r="J60" s="9">
        <v>32</v>
      </c>
      <c r="K60" s="9">
        <v>32</v>
      </c>
      <c r="L60" s="9">
        <v>1</v>
      </c>
      <c r="M60" s="9">
        <v>2</v>
      </c>
      <c r="N60" s="9">
        <v>2</v>
      </c>
      <c r="O60" s="9">
        <v>512</v>
      </c>
      <c r="P60" s="18">
        <f t="shared" si="0"/>
        <v>18.631088734999999</v>
      </c>
      <c r="Q60" s="21">
        <f t="shared" si="1"/>
        <v>12.625</v>
      </c>
      <c r="R60" s="22">
        <f t="shared" si="2"/>
        <v>235.21749527937499</v>
      </c>
    </row>
    <row r="61" spans="1:18" x14ac:dyDescent="0.25">
      <c r="A61" t="s">
        <v>64</v>
      </c>
      <c r="B61">
        <v>4.5163729999999997</v>
      </c>
      <c r="C61">
        <v>5.4128999999999997E-2</v>
      </c>
      <c r="D61">
        <v>7.6622999999999997E-2</v>
      </c>
      <c r="E61">
        <v>0.902752</v>
      </c>
      <c r="F61" s="8" t="s">
        <v>186</v>
      </c>
      <c r="G61" s="9" t="s">
        <v>193</v>
      </c>
      <c r="H61" s="9">
        <v>64</v>
      </c>
      <c r="I61" s="9">
        <v>1</v>
      </c>
      <c r="J61" s="9">
        <v>32</v>
      </c>
      <c r="K61" s="9">
        <v>32</v>
      </c>
      <c r="L61" s="9">
        <v>1</v>
      </c>
      <c r="M61" s="9">
        <v>4</v>
      </c>
      <c r="N61" s="9">
        <v>2</v>
      </c>
      <c r="O61" s="9">
        <v>512</v>
      </c>
      <c r="P61" s="18">
        <f t="shared" si="0"/>
        <v>18.627555950399998</v>
      </c>
      <c r="Q61" s="21">
        <f t="shared" si="1"/>
        <v>12.625</v>
      </c>
      <c r="R61" s="22">
        <f t="shared" si="2"/>
        <v>235.17289387379998</v>
      </c>
    </row>
    <row r="62" spans="1:18" x14ac:dyDescent="0.25">
      <c r="A62" t="s">
        <v>65</v>
      </c>
      <c r="B62">
        <v>4.5237769999999999</v>
      </c>
      <c r="C62">
        <v>5.4128999999999997E-2</v>
      </c>
      <c r="D62">
        <v>7.7973000000000001E-2</v>
      </c>
      <c r="E62">
        <v>0.89292199999999999</v>
      </c>
      <c r="F62" s="8" t="s">
        <v>186</v>
      </c>
      <c r="G62" s="9" t="s">
        <v>194</v>
      </c>
      <c r="H62" s="9">
        <v>64</v>
      </c>
      <c r="I62" s="9">
        <v>1</v>
      </c>
      <c r="J62" s="9">
        <v>32</v>
      </c>
      <c r="K62" s="9">
        <v>32</v>
      </c>
      <c r="L62" s="9">
        <v>1</v>
      </c>
      <c r="M62" s="9">
        <v>1</v>
      </c>
      <c r="N62" s="9">
        <v>1</v>
      </c>
      <c r="O62" s="9">
        <v>512</v>
      </c>
      <c r="P62" s="18">
        <f t="shared" si="0"/>
        <v>18.640475204399998</v>
      </c>
      <c r="Q62" s="21">
        <f t="shared" si="1"/>
        <v>12.625</v>
      </c>
      <c r="R62" s="22">
        <f t="shared" si="2"/>
        <v>235.33599945554997</v>
      </c>
    </row>
    <row r="63" spans="1:18" x14ac:dyDescent="0.25">
      <c r="A63" t="s">
        <v>66</v>
      </c>
      <c r="B63">
        <v>4.5237769999999999</v>
      </c>
      <c r="C63">
        <v>5.4128999999999997E-2</v>
      </c>
      <c r="D63">
        <v>7.7973000000000001E-2</v>
      </c>
      <c r="E63">
        <v>0.89292199999999999</v>
      </c>
      <c r="F63" s="8" t="s">
        <v>186</v>
      </c>
      <c r="G63" s="9" t="s">
        <v>194</v>
      </c>
      <c r="H63" s="9">
        <v>64</v>
      </c>
      <c r="I63" s="9">
        <v>1</v>
      </c>
      <c r="J63" s="9">
        <v>32</v>
      </c>
      <c r="K63" s="9">
        <v>32</v>
      </c>
      <c r="L63" s="9">
        <v>1</v>
      </c>
      <c r="M63" s="9">
        <v>1</v>
      </c>
      <c r="N63" s="9">
        <v>2</v>
      </c>
      <c r="O63" s="9">
        <v>512</v>
      </c>
      <c r="P63" s="18">
        <f t="shared" si="0"/>
        <v>18.640475204399998</v>
      </c>
      <c r="Q63" s="21">
        <f t="shared" si="1"/>
        <v>12.625</v>
      </c>
      <c r="R63" s="22">
        <f t="shared" si="2"/>
        <v>235.33599945554997</v>
      </c>
    </row>
    <row r="64" spans="1:18" x14ac:dyDescent="0.25">
      <c r="A64" t="s">
        <v>67</v>
      </c>
      <c r="B64">
        <v>4.5237769999999999</v>
      </c>
      <c r="C64">
        <v>5.4128999999999997E-2</v>
      </c>
      <c r="D64">
        <v>7.7973000000000001E-2</v>
      </c>
      <c r="E64">
        <v>0.89292199999999999</v>
      </c>
      <c r="F64" s="8" t="s">
        <v>186</v>
      </c>
      <c r="G64" s="9" t="s">
        <v>194</v>
      </c>
      <c r="H64" s="9">
        <v>64</v>
      </c>
      <c r="I64" s="9">
        <v>1</v>
      </c>
      <c r="J64" s="9">
        <v>32</v>
      </c>
      <c r="K64" s="9">
        <v>32</v>
      </c>
      <c r="L64" s="9">
        <v>1</v>
      </c>
      <c r="M64" s="9">
        <v>1</v>
      </c>
      <c r="N64" s="9">
        <v>4</v>
      </c>
      <c r="O64" s="9">
        <v>512</v>
      </c>
      <c r="P64" s="18">
        <f t="shared" si="0"/>
        <v>18.640475204399998</v>
      </c>
      <c r="Q64" s="21">
        <f t="shared" si="1"/>
        <v>12.625</v>
      </c>
      <c r="R64" s="22">
        <f t="shared" si="2"/>
        <v>235.33599945554997</v>
      </c>
    </row>
    <row r="65" spans="1:18" x14ac:dyDescent="0.25">
      <c r="A65" t="s">
        <v>68</v>
      </c>
      <c r="B65">
        <v>4.5237769999999999</v>
      </c>
      <c r="C65">
        <v>5.4128999999999997E-2</v>
      </c>
      <c r="D65">
        <v>7.7973000000000001E-2</v>
      </c>
      <c r="E65">
        <v>0.89292199999999999</v>
      </c>
      <c r="F65" s="8" t="s">
        <v>186</v>
      </c>
      <c r="G65" s="9" t="s">
        <v>184</v>
      </c>
      <c r="H65" s="9">
        <v>64</v>
      </c>
      <c r="I65" s="9">
        <v>1</v>
      </c>
      <c r="J65" s="9">
        <v>32</v>
      </c>
      <c r="K65" s="9">
        <v>32</v>
      </c>
      <c r="L65" s="9">
        <v>1</v>
      </c>
      <c r="M65" s="9">
        <v>1</v>
      </c>
      <c r="N65" s="9">
        <v>2</v>
      </c>
      <c r="O65" s="9">
        <v>1024</v>
      </c>
      <c r="P65" s="18">
        <f t="shared" si="0"/>
        <v>18.640475204399998</v>
      </c>
      <c r="Q65" s="21">
        <f t="shared" si="1"/>
        <v>12.75</v>
      </c>
      <c r="R65" s="22">
        <f t="shared" si="2"/>
        <v>237.66605885609997</v>
      </c>
    </row>
    <row r="66" spans="1:18" x14ac:dyDescent="0.25">
      <c r="A66" t="s">
        <v>69</v>
      </c>
      <c r="B66">
        <v>4.5237769999999999</v>
      </c>
      <c r="C66">
        <v>5.4128999999999997E-2</v>
      </c>
      <c r="D66">
        <v>7.7973000000000001E-2</v>
      </c>
      <c r="E66">
        <v>0.89292199999999999</v>
      </c>
      <c r="F66" s="8" t="s">
        <v>186</v>
      </c>
      <c r="G66" s="9" t="s">
        <v>184</v>
      </c>
      <c r="H66" s="9">
        <v>64</v>
      </c>
      <c r="I66" s="9">
        <v>1</v>
      </c>
      <c r="J66" s="9">
        <v>32</v>
      </c>
      <c r="K66" s="9">
        <v>32</v>
      </c>
      <c r="L66" s="9">
        <v>1</v>
      </c>
      <c r="M66" s="9">
        <v>1</v>
      </c>
      <c r="N66" s="9">
        <v>2</v>
      </c>
      <c r="O66" s="9">
        <v>256</v>
      </c>
      <c r="P66" s="18">
        <f t="shared" si="0"/>
        <v>18.640475204399998</v>
      </c>
      <c r="Q66" s="21">
        <f t="shared" si="1"/>
        <v>12.5625</v>
      </c>
      <c r="R66" s="22">
        <f t="shared" si="2"/>
        <v>234.17096975527497</v>
      </c>
    </row>
    <row r="67" spans="1:18" x14ac:dyDescent="0.25">
      <c r="A67" t="s">
        <v>70</v>
      </c>
      <c r="B67">
        <v>4.5237769999999999</v>
      </c>
      <c r="C67">
        <v>5.4128999999999997E-2</v>
      </c>
      <c r="D67">
        <v>7.7973000000000001E-2</v>
      </c>
      <c r="E67">
        <v>0.89292199999999999</v>
      </c>
      <c r="F67" s="8" t="s">
        <v>186</v>
      </c>
      <c r="G67" s="9" t="s">
        <v>184</v>
      </c>
      <c r="H67" s="9">
        <v>64</v>
      </c>
      <c r="I67" s="9">
        <v>1</v>
      </c>
      <c r="J67" s="9">
        <v>32</v>
      </c>
      <c r="K67" s="9">
        <v>32</v>
      </c>
      <c r="L67" s="9">
        <v>1</v>
      </c>
      <c r="M67" s="9">
        <v>1</v>
      </c>
      <c r="N67" s="9">
        <v>2</v>
      </c>
      <c r="O67" s="9">
        <v>2048</v>
      </c>
      <c r="P67" s="18">
        <f t="shared" ref="P67:P130" si="3">1+(C67+D67)*(10+E67*100)+B67</f>
        <v>18.640475204399998</v>
      </c>
      <c r="Q67" s="21">
        <f t="shared" ref="Q67:Q130" si="4">(J67+K67)/128*10+L67/4*10+O67/4096*1+H67/128*10</f>
        <v>13</v>
      </c>
      <c r="R67" s="22">
        <f t="shared" ref="R67:R130" si="5">Q67*P67</f>
        <v>242.32617765719996</v>
      </c>
    </row>
    <row r="68" spans="1:18" x14ac:dyDescent="0.25">
      <c r="A68" t="s">
        <v>71</v>
      </c>
      <c r="B68">
        <v>4.5237769999999999</v>
      </c>
      <c r="C68">
        <v>5.4128999999999997E-2</v>
      </c>
      <c r="D68">
        <v>7.7973000000000001E-2</v>
      </c>
      <c r="E68">
        <v>0.89292199999999999</v>
      </c>
      <c r="F68" s="8" t="s">
        <v>186</v>
      </c>
      <c r="G68" s="9" t="s">
        <v>184</v>
      </c>
      <c r="H68" s="9">
        <v>64</v>
      </c>
      <c r="I68" s="9">
        <v>1</v>
      </c>
      <c r="J68" s="9">
        <v>32</v>
      </c>
      <c r="K68" s="9">
        <v>32</v>
      </c>
      <c r="L68" s="9">
        <v>1</v>
      </c>
      <c r="M68" s="9">
        <v>1</v>
      </c>
      <c r="N68" s="9">
        <v>2</v>
      </c>
      <c r="O68" s="9">
        <v>4096</v>
      </c>
      <c r="P68" s="18">
        <f t="shared" si="3"/>
        <v>18.640475204399998</v>
      </c>
      <c r="Q68" s="21">
        <f t="shared" si="4"/>
        <v>13.5</v>
      </c>
      <c r="R68" s="22">
        <f t="shared" si="5"/>
        <v>251.64641525939996</v>
      </c>
    </row>
    <row r="69" spans="1:18" ht="15.75" thickBot="1" x14ac:dyDescent="0.3">
      <c r="A69" t="s">
        <v>72</v>
      </c>
      <c r="B69">
        <v>4.5237769999999999</v>
      </c>
      <c r="C69">
        <v>5.4128999999999997E-2</v>
      </c>
      <c r="D69">
        <v>7.7973000000000001E-2</v>
      </c>
      <c r="E69">
        <v>0.89292199999999999</v>
      </c>
      <c r="F69" s="10" t="s">
        <v>186</v>
      </c>
      <c r="G69" s="11" t="s">
        <v>184</v>
      </c>
      <c r="H69" s="11">
        <v>64</v>
      </c>
      <c r="I69" s="11">
        <v>1</v>
      </c>
      <c r="J69" s="11">
        <v>32</v>
      </c>
      <c r="K69" s="11">
        <v>32</v>
      </c>
      <c r="L69" s="11">
        <v>1</v>
      </c>
      <c r="M69" s="11">
        <v>1</v>
      </c>
      <c r="N69" s="11">
        <v>2</v>
      </c>
      <c r="O69" s="11">
        <v>512</v>
      </c>
      <c r="P69" s="19">
        <f t="shared" si="3"/>
        <v>18.640475204399998</v>
      </c>
      <c r="Q69" s="21">
        <f t="shared" si="4"/>
        <v>12.625</v>
      </c>
      <c r="R69" s="24">
        <f t="shared" si="5"/>
        <v>235.33599945554997</v>
      </c>
    </row>
    <row r="70" spans="1:18" x14ac:dyDescent="0.25">
      <c r="A70" t="s">
        <v>73</v>
      </c>
      <c r="B70">
        <v>4.9782080000000004</v>
      </c>
      <c r="C70">
        <v>6.1057E-2</v>
      </c>
      <c r="D70">
        <v>1.4E-5</v>
      </c>
      <c r="E70">
        <v>0.99548099999999995</v>
      </c>
      <c r="F70" s="6" t="s">
        <v>187</v>
      </c>
      <c r="G70" s="7" t="s">
        <v>190</v>
      </c>
      <c r="H70" s="7">
        <v>128</v>
      </c>
      <c r="I70" s="7">
        <v>1</v>
      </c>
      <c r="J70" s="7">
        <v>32</v>
      </c>
      <c r="K70" s="7">
        <v>32</v>
      </c>
      <c r="L70" s="7">
        <v>1</v>
      </c>
      <c r="M70" s="7">
        <v>1</v>
      </c>
      <c r="N70" s="7">
        <v>2</v>
      </c>
      <c r="O70" s="7">
        <v>512</v>
      </c>
      <c r="P70" s="20">
        <f t="shared" si="3"/>
        <v>12.668420015100001</v>
      </c>
      <c r="Q70" s="21">
        <f t="shared" si="4"/>
        <v>17.625</v>
      </c>
      <c r="R70" s="25">
        <f t="shared" si="5"/>
        <v>223.2809027661375</v>
      </c>
    </row>
    <row r="71" spans="1:18" x14ac:dyDescent="0.25">
      <c r="A71" t="s">
        <v>74</v>
      </c>
      <c r="B71">
        <v>11.660412000000001</v>
      </c>
      <c r="C71">
        <v>0.243703</v>
      </c>
      <c r="D71">
        <v>2.3E-5</v>
      </c>
      <c r="E71">
        <v>0.99959699999999996</v>
      </c>
      <c r="F71" s="8" t="s">
        <v>187</v>
      </c>
      <c r="G71" s="9" t="s">
        <v>190</v>
      </c>
      <c r="H71" s="9">
        <v>32</v>
      </c>
      <c r="I71" s="9">
        <v>1</v>
      </c>
      <c r="J71" s="9">
        <v>32</v>
      </c>
      <c r="K71" s="9">
        <v>32</v>
      </c>
      <c r="L71" s="9">
        <v>1</v>
      </c>
      <c r="M71" s="9">
        <v>1</v>
      </c>
      <c r="N71" s="9">
        <v>2</v>
      </c>
      <c r="O71" s="9">
        <v>512</v>
      </c>
      <c r="P71" s="18">
        <f t="shared" si="3"/>
        <v>39.460449842199999</v>
      </c>
      <c r="Q71" s="21">
        <f t="shared" si="4"/>
        <v>10.125</v>
      </c>
      <c r="R71" s="22">
        <f t="shared" si="5"/>
        <v>399.537054652275</v>
      </c>
    </row>
    <row r="72" spans="1:18" x14ac:dyDescent="0.25">
      <c r="A72" t="s">
        <v>75</v>
      </c>
      <c r="B72">
        <v>7.0422409999999998</v>
      </c>
      <c r="C72">
        <v>0.12191200000000001</v>
      </c>
      <c r="D72">
        <v>2.0000000000000002E-5</v>
      </c>
      <c r="E72">
        <v>0.99863000000000002</v>
      </c>
      <c r="F72" s="8" t="s">
        <v>187</v>
      </c>
      <c r="G72" s="9" t="s">
        <v>190</v>
      </c>
      <c r="H72" s="9">
        <v>64</v>
      </c>
      <c r="I72" s="9">
        <v>1</v>
      </c>
      <c r="J72" s="9">
        <v>32</v>
      </c>
      <c r="K72" s="9">
        <v>32</v>
      </c>
      <c r="L72" s="9">
        <v>1</v>
      </c>
      <c r="M72" s="9">
        <v>1</v>
      </c>
      <c r="N72" s="9">
        <v>2</v>
      </c>
      <c r="O72" s="9">
        <v>512</v>
      </c>
      <c r="P72" s="18">
        <f t="shared" si="3"/>
        <v>21.438056316000001</v>
      </c>
      <c r="Q72" s="21">
        <f t="shared" si="4"/>
        <v>12.625</v>
      </c>
      <c r="R72" s="22">
        <f t="shared" si="5"/>
        <v>270.6554609895</v>
      </c>
    </row>
    <row r="73" spans="1:18" x14ac:dyDescent="0.25">
      <c r="A73" t="s">
        <v>76</v>
      </c>
      <c r="B73">
        <v>7.0422409999999998</v>
      </c>
      <c r="C73">
        <v>0.12191200000000001</v>
      </c>
      <c r="D73">
        <v>2.0000000000000002E-5</v>
      </c>
      <c r="E73">
        <v>0.99863000000000002</v>
      </c>
      <c r="F73" s="8" t="s">
        <v>187</v>
      </c>
      <c r="G73" s="9" t="s">
        <v>195</v>
      </c>
      <c r="H73" s="9">
        <v>64</v>
      </c>
      <c r="I73" s="9">
        <v>1</v>
      </c>
      <c r="J73" s="9">
        <v>32</v>
      </c>
      <c r="K73" s="9">
        <v>32</v>
      </c>
      <c r="L73" s="9">
        <v>1</v>
      </c>
      <c r="M73" s="9">
        <v>1</v>
      </c>
      <c r="N73" s="9">
        <v>2</v>
      </c>
      <c r="O73" s="9">
        <v>512</v>
      </c>
      <c r="P73" s="18">
        <f t="shared" si="3"/>
        <v>21.438056316000001</v>
      </c>
      <c r="Q73" s="21">
        <f t="shared" si="4"/>
        <v>12.625</v>
      </c>
      <c r="R73" s="22">
        <f t="shared" si="5"/>
        <v>270.6554609895</v>
      </c>
    </row>
    <row r="74" spans="1:18" x14ac:dyDescent="0.25">
      <c r="A74" t="s">
        <v>77</v>
      </c>
      <c r="B74">
        <v>7.0414529999999997</v>
      </c>
      <c r="C74">
        <v>0.12184499999999999</v>
      </c>
      <c r="D74">
        <v>1.9000000000000001E-5</v>
      </c>
      <c r="E74">
        <v>0.99974200000000002</v>
      </c>
      <c r="F74" s="8" t="s">
        <v>187</v>
      </c>
      <c r="G74" s="9" t="s">
        <v>191</v>
      </c>
      <c r="H74" s="9">
        <v>64</v>
      </c>
      <c r="I74" s="9">
        <v>1</v>
      </c>
      <c r="J74" s="9">
        <v>128</v>
      </c>
      <c r="K74" s="9">
        <v>128</v>
      </c>
      <c r="L74" s="9">
        <v>1</v>
      </c>
      <c r="M74" s="9">
        <v>1</v>
      </c>
      <c r="N74" s="9">
        <v>2</v>
      </c>
      <c r="O74" s="9">
        <v>512</v>
      </c>
      <c r="P74" s="18">
        <f t="shared" si="3"/>
        <v>21.443348908800001</v>
      </c>
      <c r="Q74" s="21">
        <f t="shared" si="4"/>
        <v>27.625</v>
      </c>
      <c r="R74" s="22">
        <f t="shared" si="5"/>
        <v>592.37251360560003</v>
      </c>
    </row>
    <row r="75" spans="1:18" x14ac:dyDescent="0.25">
      <c r="A75" t="s">
        <v>78</v>
      </c>
      <c r="B75">
        <v>7.0414880000000002</v>
      </c>
      <c r="C75">
        <v>0.12184499999999999</v>
      </c>
      <c r="D75">
        <v>2.4000000000000001E-5</v>
      </c>
      <c r="E75">
        <v>0.99971299999999996</v>
      </c>
      <c r="F75" s="8" t="s">
        <v>187</v>
      </c>
      <c r="G75" s="9" t="s">
        <v>191</v>
      </c>
      <c r="H75" s="9">
        <v>64</v>
      </c>
      <c r="I75" s="9">
        <v>1</v>
      </c>
      <c r="J75" s="9">
        <v>128</v>
      </c>
      <c r="K75" s="9">
        <v>16</v>
      </c>
      <c r="L75" s="9">
        <v>1</v>
      </c>
      <c r="M75" s="9">
        <v>1</v>
      </c>
      <c r="N75" s="9">
        <v>2</v>
      </c>
      <c r="O75" s="9">
        <v>512</v>
      </c>
      <c r="P75" s="18">
        <f t="shared" si="3"/>
        <v>21.4435803597</v>
      </c>
      <c r="Q75" s="21">
        <f t="shared" si="4"/>
        <v>18.875</v>
      </c>
      <c r="R75" s="22">
        <f t="shared" si="5"/>
        <v>404.74757928933752</v>
      </c>
    </row>
    <row r="76" spans="1:18" x14ac:dyDescent="0.25">
      <c r="A76" t="s">
        <v>79</v>
      </c>
      <c r="B76">
        <v>7.0415190000000001</v>
      </c>
      <c r="C76">
        <v>0.12184499999999999</v>
      </c>
      <c r="D76">
        <v>2.0999999999999999E-5</v>
      </c>
      <c r="E76">
        <v>0.99973000000000001</v>
      </c>
      <c r="F76" s="8" t="s">
        <v>187</v>
      </c>
      <c r="G76" s="9" t="s">
        <v>191</v>
      </c>
      <c r="H76" s="9">
        <v>64</v>
      </c>
      <c r="I76" s="9">
        <v>1</v>
      </c>
      <c r="J76" s="9">
        <v>128</v>
      </c>
      <c r="K76" s="9">
        <v>32</v>
      </c>
      <c r="L76" s="9">
        <v>1</v>
      </c>
      <c r="M76" s="9">
        <v>1</v>
      </c>
      <c r="N76" s="9">
        <v>2</v>
      </c>
      <c r="O76" s="9">
        <v>512</v>
      </c>
      <c r="P76" s="18">
        <f t="shared" si="3"/>
        <v>21.443488618</v>
      </c>
      <c r="Q76" s="21">
        <f t="shared" si="4"/>
        <v>20.125</v>
      </c>
      <c r="R76" s="22">
        <f t="shared" si="5"/>
        <v>431.55020843724998</v>
      </c>
    </row>
    <row r="77" spans="1:18" x14ac:dyDescent="0.25">
      <c r="A77" t="s">
        <v>80</v>
      </c>
      <c r="B77">
        <v>7.0414810000000001</v>
      </c>
      <c r="C77">
        <v>0.12184499999999999</v>
      </c>
      <c r="D77">
        <v>2.0000000000000002E-5</v>
      </c>
      <c r="E77">
        <v>0.99973500000000004</v>
      </c>
      <c r="F77" s="8" t="s">
        <v>187</v>
      </c>
      <c r="G77" s="9" t="s">
        <v>191</v>
      </c>
      <c r="H77" s="9">
        <v>64</v>
      </c>
      <c r="I77" s="9">
        <v>1</v>
      </c>
      <c r="J77" s="9">
        <v>128</v>
      </c>
      <c r="K77" s="9">
        <v>64</v>
      </c>
      <c r="L77" s="9">
        <v>1</v>
      </c>
      <c r="M77" s="9">
        <v>1</v>
      </c>
      <c r="N77" s="9">
        <v>2</v>
      </c>
      <c r="O77" s="9">
        <v>512</v>
      </c>
      <c r="P77" s="18">
        <f t="shared" si="3"/>
        <v>21.443401577500001</v>
      </c>
      <c r="Q77" s="21">
        <f t="shared" si="4"/>
        <v>22.625</v>
      </c>
      <c r="R77" s="22">
        <f t="shared" si="5"/>
        <v>485.15696069093752</v>
      </c>
    </row>
    <row r="78" spans="1:18" x14ac:dyDescent="0.25">
      <c r="A78" t="s">
        <v>81</v>
      </c>
      <c r="B78">
        <v>7.0434999999999999</v>
      </c>
      <c r="C78">
        <v>0.12200999999999999</v>
      </c>
      <c r="D78">
        <v>1.9000000000000001E-5</v>
      </c>
      <c r="E78">
        <v>0.99704999999999999</v>
      </c>
      <c r="F78" s="8" t="s">
        <v>187</v>
      </c>
      <c r="G78" s="9" t="s">
        <v>191</v>
      </c>
      <c r="H78" s="9">
        <v>64</v>
      </c>
      <c r="I78" s="9">
        <v>1</v>
      </c>
      <c r="J78" s="9">
        <v>16</v>
      </c>
      <c r="K78" s="9">
        <v>128</v>
      </c>
      <c r="L78" s="9">
        <v>1</v>
      </c>
      <c r="M78" s="9">
        <v>1</v>
      </c>
      <c r="N78" s="9">
        <v>2</v>
      </c>
      <c r="O78" s="9">
        <v>512</v>
      </c>
      <c r="P78" s="18">
        <f t="shared" si="3"/>
        <v>21.430691445000001</v>
      </c>
      <c r="Q78" s="21">
        <f t="shared" si="4"/>
        <v>18.875</v>
      </c>
      <c r="R78" s="22">
        <f t="shared" si="5"/>
        <v>404.50430102437502</v>
      </c>
    </row>
    <row r="79" spans="1:18" x14ac:dyDescent="0.25">
      <c r="A79" t="s">
        <v>82</v>
      </c>
      <c r="B79">
        <v>7.043558</v>
      </c>
      <c r="C79">
        <v>0.12200999999999999</v>
      </c>
      <c r="D79">
        <v>2.4000000000000001E-5</v>
      </c>
      <c r="E79">
        <v>0.99702100000000005</v>
      </c>
      <c r="F79" s="8" t="s">
        <v>187</v>
      </c>
      <c r="G79" s="9" t="s">
        <v>191</v>
      </c>
      <c r="H79" s="9">
        <v>64</v>
      </c>
      <c r="I79" s="9">
        <v>1</v>
      </c>
      <c r="J79" s="9">
        <v>16</v>
      </c>
      <c r="K79" s="9">
        <v>16</v>
      </c>
      <c r="L79" s="9">
        <v>1</v>
      </c>
      <c r="M79" s="9">
        <v>1</v>
      </c>
      <c r="N79" s="9">
        <v>2</v>
      </c>
      <c r="O79" s="9">
        <v>512</v>
      </c>
      <c r="P79" s="18">
        <f t="shared" si="3"/>
        <v>21.430944071399999</v>
      </c>
      <c r="Q79" s="21">
        <f t="shared" si="4"/>
        <v>10.125</v>
      </c>
      <c r="R79" s="22">
        <f t="shared" si="5"/>
        <v>216.98830872292498</v>
      </c>
    </row>
    <row r="80" spans="1:18" x14ac:dyDescent="0.25">
      <c r="A80" t="s">
        <v>83</v>
      </c>
      <c r="B80">
        <v>7.046748</v>
      </c>
      <c r="C80">
        <v>0.12200999999999999</v>
      </c>
      <c r="D80">
        <v>2.0999999999999999E-5</v>
      </c>
      <c r="E80">
        <v>0.99703699999999995</v>
      </c>
      <c r="F80" s="8" t="s">
        <v>187</v>
      </c>
      <c r="G80" s="9" t="s">
        <v>191</v>
      </c>
      <c r="H80" s="9">
        <v>64</v>
      </c>
      <c r="I80" s="9">
        <v>1</v>
      </c>
      <c r="J80" s="9">
        <v>16</v>
      </c>
      <c r="K80" s="9">
        <v>32</v>
      </c>
      <c r="L80" s="9">
        <v>1</v>
      </c>
      <c r="M80" s="9">
        <v>1</v>
      </c>
      <c r="N80" s="9">
        <v>2</v>
      </c>
      <c r="O80" s="9">
        <v>512</v>
      </c>
      <c r="P80" s="18">
        <f t="shared" si="3"/>
        <v>21.434000214699999</v>
      </c>
      <c r="Q80" s="21">
        <f t="shared" si="4"/>
        <v>11.375</v>
      </c>
      <c r="R80" s="22">
        <f t="shared" si="5"/>
        <v>243.81175244221248</v>
      </c>
    </row>
    <row r="81" spans="1:18" x14ac:dyDescent="0.25">
      <c r="A81" t="s">
        <v>84</v>
      </c>
      <c r="B81">
        <v>7.0467339999999998</v>
      </c>
      <c r="C81">
        <v>0.12200999999999999</v>
      </c>
      <c r="D81">
        <v>2.0000000000000002E-5</v>
      </c>
      <c r="E81">
        <v>0.99704300000000001</v>
      </c>
      <c r="F81" s="8" t="s">
        <v>187</v>
      </c>
      <c r="G81" s="9" t="s">
        <v>191</v>
      </c>
      <c r="H81" s="9">
        <v>64</v>
      </c>
      <c r="I81" s="9">
        <v>1</v>
      </c>
      <c r="J81" s="9">
        <v>16</v>
      </c>
      <c r="K81" s="9">
        <v>64</v>
      </c>
      <c r="L81" s="9">
        <v>1</v>
      </c>
      <c r="M81" s="9">
        <v>1</v>
      </c>
      <c r="N81" s="9">
        <v>2</v>
      </c>
      <c r="O81" s="9">
        <v>512</v>
      </c>
      <c r="P81" s="18">
        <f t="shared" si="3"/>
        <v>21.433949729000002</v>
      </c>
      <c r="Q81" s="21">
        <f t="shared" si="4"/>
        <v>13.875</v>
      </c>
      <c r="R81" s="22">
        <f t="shared" si="5"/>
        <v>297.39605248987505</v>
      </c>
    </row>
    <row r="82" spans="1:18" x14ac:dyDescent="0.25">
      <c r="A82" t="s">
        <v>85</v>
      </c>
      <c r="B82">
        <v>7.0422409999999998</v>
      </c>
      <c r="C82">
        <v>0.12191299999999999</v>
      </c>
      <c r="D82">
        <v>1.9000000000000001E-5</v>
      </c>
      <c r="E82">
        <v>0.998637</v>
      </c>
      <c r="F82" s="8" t="s">
        <v>187</v>
      </c>
      <c r="G82" s="9" t="s">
        <v>191</v>
      </c>
      <c r="H82" s="9">
        <v>64</v>
      </c>
      <c r="I82" s="9">
        <v>1</v>
      </c>
      <c r="J82" s="9">
        <v>32</v>
      </c>
      <c r="K82" s="9">
        <v>128</v>
      </c>
      <c r="L82" s="9">
        <v>1</v>
      </c>
      <c r="M82" s="9">
        <v>1</v>
      </c>
      <c r="N82" s="9">
        <v>2</v>
      </c>
      <c r="O82" s="9">
        <v>512</v>
      </c>
      <c r="P82" s="18">
        <f t="shared" si="3"/>
        <v>21.4381416684</v>
      </c>
      <c r="Q82" s="21">
        <f t="shared" si="4"/>
        <v>20.125</v>
      </c>
      <c r="R82" s="22">
        <f t="shared" si="5"/>
        <v>431.44260107654998</v>
      </c>
    </row>
    <row r="83" spans="1:18" x14ac:dyDescent="0.25">
      <c r="A83" t="s">
        <v>86</v>
      </c>
      <c r="B83">
        <v>7.0423010000000001</v>
      </c>
      <c r="C83">
        <v>0.12191200000000001</v>
      </c>
      <c r="D83">
        <v>2.4000000000000001E-5</v>
      </c>
      <c r="E83">
        <v>0.99860800000000005</v>
      </c>
      <c r="F83" s="8" t="s">
        <v>187</v>
      </c>
      <c r="G83" s="9" t="s">
        <v>191</v>
      </c>
      <c r="H83" s="9">
        <v>64</v>
      </c>
      <c r="I83" s="9">
        <v>1</v>
      </c>
      <c r="J83" s="9">
        <v>32</v>
      </c>
      <c r="K83" s="9">
        <v>16</v>
      </c>
      <c r="L83" s="9">
        <v>1</v>
      </c>
      <c r="M83" s="9">
        <v>1</v>
      </c>
      <c r="N83" s="9">
        <v>2</v>
      </c>
      <c r="O83" s="9">
        <v>512</v>
      </c>
      <c r="P83" s="18">
        <f t="shared" si="3"/>
        <v>21.438287508800002</v>
      </c>
      <c r="Q83" s="21">
        <f t="shared" si="4"/>
        <v>11.375</v>
      </c>
      <c r="R83" s="22">
        <f t="shared" si="5"/>
        <v>243.86052041260001</v>
      </c>
    </row>
    <row r="84" spans="1:18" x14ac:dyDescent="0.25">
      <c r="A84" t="s">
        <v>87</v>
      </c>
      <c r="B84">
        <v>7.042268</v>
      </c>
      <c r="C84">
        <v>0.12191200000000001</v>
      </c>
      <c r="D84">
        <v>2.0999999999999999E-5</v>
      </c>
      <c r="E84">
        <v>0.99862399999999996</v>
      </c>
      <c r="F84" s="8" t="s">
        <v>187</v>
      </c>
      <c r="G84" s="9" t="s">
        <v>191</v>
      </c>
      <c r="H84" s="9">
        <v>64</v>
      </c>
      <c r="I84" s="9">
        <v>1</v>
      </c>
      <c r="J84" s="9">
        <v>32</v>
      </c>
      <c r="K84" s="9">
        <v>32</v>
      </c>
      <c r="L84" s="9">
        <v>1</v>
      </c>
      <c r="M84" s="9">
        <v>1</v>
      </c>
      <c r="N84" s="9">
        <v>2</v>
      </c>
      <c r="O84" s="9">
        <v>512</v>
      </c>
      <c r="P84" s="18">
        <f t="shared" si="3"/>
        <v>21.438120019199999</v>
      </c>
      <c r="Q84" s="21">
        <f t="shared" si="4"/>
        <v>12.625</v>
      </c>
      <c r="R84" s="22">
        <f t="shared" si="5"/>
        <v>270.65626524239997</v>
      </c>
    </row>
    <row r="85" spans="1:18" x14ac:dyDescent="0.25">
      <c r="A85" t="s">
        <v>88</v>
      </c>
      <c r="B85">
        <v>7.0422409999999998</v>
      </c>
      <c r="C85">
        <v>0.12191200000000001</v>
      </c>
      <c r="D85">
        <v>2.0000000000000002E-5</v>
      </c>
      <c r="E85">
        <v>0.99863000000000002</v>
      </c>
      <c r="F85" s="8" t="s">
        <v>187</v>
      </c>
      <c r="G85" s="9" t="s">
        <v>191</v>
      </c>
      <c r="H85" s="9">
        <v>64</v>
      </c>
      <c r="I85" s="9">
        <v>1</v>
      </c>
      <c r="J85" s="9">
        <v>32</v>
      </c>
      <c r="K85" s="9">
        <v>64</v>
      </c>
      <c r="L85" s="9">
        <v>1</v>
      </c>
      <c r="M85" s="9">
        <v>1</v>
      </c>
      <c r="N85" s="9">
        <v>2</v>
      </c>
      <c r="O85" s="9">
        <v>512</v>
      </c>
      <c r="P85" s="18">
        <f t="shared" si="3"/>
        <v>21.438056316000001</v>
      </c>
      <c r="Q85" s="21">
        <f t="shared" si="4"/>
        <v>15.125</v>
      </c>
      <c r="R85" s="22">
        <f t="shared" si="5"/>
        <v>324.25060177950002</v>
      </c>
    </row>
    <row r="86" spans="1:18" x14ac:dyDescent="0.25">
      <c r="A86" t="s">
        <v>89</v>
      </c>
      <c r="B86">
        <v>7.0417670000000001</v>
      </c>
      <c r="C86">
        <v>0.12187000000000001</v>
      </c>
      <c r="D86">
        <v>1.9000000000000001E-5</v>
      </c>
      <c r="E86">
        <v>0.99933399999999994</v>
      </c>
      <c r="F86" s="8" t="s">
        <v>187</v>
      </c>
      <c r="G86" s="9" t="s">
        <v>191</v>
      </c>
      <c r="H86" s="9">
        <v>64</v>
      </c>
      <c r="I86" s="9">
        <v>1</v>
      </c>
      <c r="J86" s="9">
        <v>64</v>
      </c>
      <c r="K86" s="9">
        <v>128</v>
      </c>
      <c r="L86" s="9">
        <v>1</v>
      </c>
      <c r="M86" s="9">
        <v>1</v>
      </c>
      <c r="N86" s="9">
        <v>2</v>
      </c>
      <c r="O86" s="9">
        <v>512</v>
      </c>
      <c r="P86" s="18">
        <f t="shared" si="3"/>
        <v>21.441439192600001</v>
      </c>
      <c r="Q86" s="21">
        <f t="shared" si="4"/>
        <v>22.625</v>
      </c>
      <c r="R86" s="22">
        <f t="shared" si="5"/>
        <v>485.11256173257505</v>
      </c>
    </row>
    <row r="87" spans="1:18" x14ac:dyDescent="0.25">
      <c r="A87" t="s">
        <v>90</v>
      </c>
      <c r="B87">
        <v>7.0418070000000004</v>
      </c>
      <c r="C87">
        <v>0.12187000000000001</v>
      </c>
      <c r="D87">
        <v>2.4000000000000001E-5</v>
      </c>
      <c r="E87">
        <v>0.999305</v>
      </c>
      <c r="F87" s="8" t="s">
        <v>187</v>
      </c>
      <c r="G87" s="9" t="s">
        <v>191</v>
      </c>
      <c r="H87" s="9">
        <v>64</v>
      </c>
      <c r="I87" s="9">
        <v>1</v>
      </c>
      <c r="J87" s="9">
        <v>64</v>
      </c>
      <c r="K87" s="9">
        <v>16</v>
      </c>
      <c r="L87" s="9">
        <v>1</v>
      </c>
      <c r="M87" s="9">
        <v>1</v>
      </c>
      <c r="N87" s="9">
        <v>2</v>
      </c>
      <c r="O87" s="9">
        <v>512</v>
      </c>
      <c r="P87" s="18">
        <f t="shared" si="3"/>
        <v>21.441675367000002</v>
      </c>
      <c r="Q87" s="21">
        <f t="shared" si="4"/>
        <v>13.875</v>
      </c>
      <c r="R87" s="22">
        <f t="shared" si="5"/>
        <v>297.50324571712503</v>
      </c>
    </row>
    <row r="88" spans="1:18" x14ac:dyDescent="0.25">
      <c r="A88" t="s">
        <v>91</v>
      </c>
      <c r="B88">
        <v>7.0417670000000001</v>
      </c>
      <c r="C88">
        <v>0.12187000000000001</v>
      </c>
      <c r="D88">
        <v>2.0999999999999999E-5</v>
      </c>
      <c r="E88">
        <v>0.99932200000000004</v>
      </c>
      <c r="F88" s="8" t="s">
        <v>187</v>
      </c>
      <c r="G88" s="9" t="s">
        <v>191</v>
      </c>
      <c r="H88" s="9">
        <v>64</v>
      </c>
      <c r="I88" s="9">
        <v>1</v>
      </c>
      <c r="J88" s="9">
        <v>64</v>
      </c>
      <c r="K88" s="9">
        <v>32</v>
      </c>
      <c r="L88" s="9">
        <v>1</v>
      </c>
      <c r="M88" s="9">
        <v>1</v>
      </c>
      <c r="N88" s="9">
        <v>2</v>
      </c>
      <c r="O88" s="9">
        <v>512</v>
      </c>
      <c r="P88" s="18">
        <f t="shared" si="3"/>
        <v>21.441512790200001</v>
      </c>
      <c r="Q88" s="21">
        <f t="shared" si="4"/>
        <v>15.125</v>
      </c>
      <c r="R88" s="22">
        <f t="shared" si="5"/>
        <v>324.30288095177502</v>
      </c>
    </row>
    <row r="89" spans="1:18" x14ac:dyDescent="0.25">
      <c r="A89" t="s">
        <v>92</v>
      </c>
      <c r="B89">
        <v>7.0417759999999996</v>
      </c>
      <c r="C89">
        <v>0.12187000000000001</v>
      </c>
      <c r="D89">
        <v>2.0000000000000002E-5</v>
      </c>
      <c r="E89">
        <v>0.99932699999999997</v>
      </c>
      <c r="F89" s="8" t="s">
        <v>187</v>
      </c>
      <c r="G89" s="9" t="s">
        <v>191</v>
      </c>
      <c r="H89" s="9">
        <v>64</v>
      </c>
      <c r="I89" s="9">
        <v>1</v>
      </c>
      <c r="J89" s="9">
        <v>64</v>
      </c>
      <c r="K89" s="9">
        <v>64</v>
      </c>
      <c r="L89" s="9">
        <v>1</v>
      </c>
      <c r="M89" s="9">
        <v>1</v>
      </c>
      <c r="N89" s="9">
        <v>2</v>
      </c>
      <c r="O89" s="9">
        <v>512</v>
      </c>
      <c r="P89" s="18">
        <f t="shared" si="3"/>
        <v>21.441472803</v>
      </c>
      <c r="Q89" s="21">
        <f t="shared" si="4"/>
        <v>17.625</v>
      </c>
      <c r="R89" s="22">
        <f t="shared" si="5"/>
        <v>377.90595815287497</v>
      </c>
    </row>
    <row r="90" spans="1:18" x14ac:dyDescent="0.25">
      <c r="A90" t="s">
        <v>93</v>
      </c>
      <c r="B90">
        <v>7.0422409999999998</v>
      </c>
      <c r="C90">
        <v>0.12191200000000001</v>
      </c>
      <c r="D90">
        <v>2.0000000000000002E-5</v>
      </c>
      <c r="E90">
        <v>0.99863000000000002</v>
      </c>
      <c r="F90" s="8" t="s">
        <v>187</v>
      </c>
      <c r="G90" s="9" t="s">
        <v>192</v>
      </c>
      <c r="H90" s="9">
        <v>64</v>
      </c>
      <c r="I90" s="9">
        <v>1</v>
      </c>
      <c r="J90" s="9">
        <v>32</v>
      </c>
      <c r="K90" s="9">
        <v>32</v>
      </c>
      <c r="L90" s="9">
        <v>1</v>
      </c>
      <c r="M90" s="9">
        <v>1</v>
      </c>
      <c r="N90" s="9">
        <v>2</v>
      </c>
      <c r="O90" s="9">
        <v>512</v>
      </c>
      <c r="P90" s="18">
        <f t="shared" si="3"/>
        <v>21.438056316000001</v>
      </c>
      <c r="Q90" s="21">
        <f t="shared" si="4"/>
        <v>12.625</v>
      </c>
      <c r="R90" s="22">
        <f t="shared" si="5"/>
        <v>270.6554609895</v>
      </c>
    </row>
    <row r="91" spans="1:18" x14ac:dyDescent="0.25">
      <c r="A91" t="s">
        <v>94</v>
      </c>
      <c r="B91">
        <v>7.0412840000000001</v>
      </c>
      <c r="C91">
        <v>0.12183099999999999</v>
      </c>
      <c r="D91">
        <v>2.0000000000000002E-5</v>
      </c>
      <c r="E91">
        <v>0.99995400000000001</v>
      </c>
      <c r="F91" s="8" t="s">
        <v>187</v>
      </c>
      <c r="G91" s="9" t="s">
        <v>192</v>
      </c>
      <c r="H91" s="9">
        <v>64</v>
      </c>
      <c r="I91" s="9">
        <v>1</v>
      </c>
      <c r="J91" s="9">
        <v>32</v>
      </c>
      <c r="K91" s="9">
        <v>32</v>
      </c>
      <c r="L91" s="9">
        <v>2</v>
      </c>
      <c r="M91" s="9">
        <v>1</v>
      </c>
      <c r="N91" s="9">
        <v>2</v>
      </c>
      <c r="O91" s="9">
        <v>512</v>
      </c>
      <c r="P91" s="18">
        <f t="shared" si="3"/>
        <v>21.444333485400001</v>
      </c>
      <c r="Q91" s="21">
        <f t="shared" si="4"/>
        <v>15.125</v>
      </c>
      <c r="R91" s="22">
        <f t="shared" si="5"/>
        <v>324.345543966675</v>
      </c>
    </row>
    <row r="92" spans="1:18" x14ac:dyDescent="0.25">
      <c r="A92" t="s">
        <v>95</v>
      </c>
      <c r="B92">
        <v>7.0412840000000001</v>
      </c>
      <c r="C92">
        <v>0.12182900000000001</v>
      </c>
      <c r="D92">
        <v>2.0000000000000002E-5</v>
      </c>
      <c r="E92">
        <v>0.999973</v>
      </c>
      <c r="F92" s="8" t="s">
        <v>187</v>
      </c>
      <c r="G92" s="9" t="s">
        <v>192</v>
      </c>
      <c r="H92" s="9">
        <v>64</v>
      </c>
      <c r="I92" s="9">
        <v>1</v>
      </c>
      <c r="J92" s="9">
        <v>32</v>
      </c>
      <c r="K92" s="9">
        <v>32</v>
      </c>
      <c r="L92" s="9">
        <v>4</v>
      </c>
      <c r="M92" s="9">
        <v>1</v>
      </c>
      <c r="N92" s="9">
        <v>2</v>
      </c>
      <c r="O92" s="9">
        <v>512</v>
      </c>
      <c r="P92" s="18">
        <f t="shared" si="3"/>
        <v>21.444345007700001</v>
      </c>
      <c r="Q92" s="21">
        <f t="shared" si="4"/>
        <v>20.125</v>
      </c>
      <c r="R92" s="22">
        <f t="shared" si="5"/>
        <v>431.5674432799625</v>
      </c>
    </row>
    <row r="93" spans="1:18" x14ac:dyDescent="0.25">
      <c r="A93" t="s">
        <v>96</v>
      </c>
      <c r="B93">
        <v>7.0422409999999998</v>
      </c>
      <c r="C93">
        <v>0.12191200000000001</v>
      </c>
      <c r="D93">
        <v>2.0000000000000002E-5</v>
      </c>
      <c r="E93">
        <v>0.99863000000000002</v>
      </c>
      <c r="F93" s="8" t="s">
        <v>187</v>
      </c>
      <c r="G93" s="9" t="s">
        <v>193</v>
      </c>
      <c r="H93" s="9">
        <v>64</v>
      </c>
      <c r="I93" s="9">
        <v>1</v>
      </c>
      <c r="J93" s="9">
        <v>32</v>
      </c>
      <c r="K93" s="9">
        <v>32</v>
      </c>
      <c r="L93" s="9">
        <v>1</v>
      </c>
      <c r="M93" s="9">
        <v>1</v>
      </c>
      <c r="N93" s="9">
        <v>2</v>
      </c>
      <c r="O93" s="9">
        <v>512</v>
      </c>
      <c r="P93" s="18">
        <f t="shared" si="3"/>
        <v>21.438056316000001</v>
      </c>
      <c r="Q93" s="21">
        <f t="shared" si="4"/>
        <v>12.625</v>
      </c>
      <c r="R93" s="22">
        <f t="shared" si="5"/>
        <v>270.6554609895</v>
      </c>
    </row>
    <row r="94" spans="1:18" x14ac:dyDescent="0.25">
      <c r="A94" t="s">
        <v>97</v>
      </c>
      <c r="B94">
        <v>7.0422180000000001</v>
      </c>
      <c r="C94">
        <v>0.12191299999999999</v>
      </c>
      <c r="D94">
        <v>1.9000000000000001E-5</v>
      </c>
      <c r="E94">
        <v>0.99863800000000003</v>
      </c>
      <c r="F94" s="8" t="s">
        <v>187</v>
      </c>
      <c r="G94" s="9" t="s">
        <v>193</v>
      </c>
      <c r="H94" s="9">
        <v>64</v>
      </c>
      <c r="I94" s="9">
        <v>1</v>
      </c>
      <c r="J94" s="9">
        <v>32</v>
      </c>
      <c r="K94" s="9">
        <v>32</v>
      </c>
      <c r="L94" s="9">
        <v>1</v>
      </c>
      <c r="M94" s="9">
        <v>2</v>
      </c>
      <c r="N94" s="9">
        <v>2</v>
      </c>
      <c r="O94" s="9">
        <v>512</v>
      </c>
      <c r="P94" s="18">
        <f t="shared" si="3"/>
        <v>21.438130861600001</v>
      </c>
      <c r="Q94" s="21">
        <f t="shared" si="4"/>
        <v>12.625</v>
      </c>
      <c r="R94" s="22">
        <f t="shared" si="5"/>
        <v>270.65640212770001</v>
      </c>
    </row>
    <row r="95" spans="1:18" x14ac:dyDescent="0.25">
      <c r="A95" t="s">
        <v>98</v>
      </c>
      <c r="B95">
        <v>7.0422560000000001</v>
      </c>
      <c r="C95">
        <v>0.12191299999999999</v>
      </c>
      <c r="D95">
        <v>1.9000000000000001E-5</v>
      </c>
      <c r="E95">
        <v>0.99863800000000003</v>
      </c>
      <c r="F95" s="8" t="s">
        <v>187</v>
      </c>
      <c r="G95" s="9" t="s">
        <v>193</v>
      </c>
      <c r="H95" s="9">
        <v>64</v>
      </c>
      <c r="I95" s="9">
        <v>1</v>
      </c>
      <c r="J95" s="9">
        <v>32</v>
      </c>
      <c r="K95" s="9">
        <v>32</v>
      </c>
      <c r="L95" s="9">
        <v>1</v>
      </c>
      <c r="M95" s="9">
        <v>4</v>
      </c>
      <c r="N95" s="9">
        <v>2</v>
      </c>
      <c r="O95" s="9">
        <v>512</v>
      </c>
      <c r="P95" s="18">
        <f t="shared" si="3"/>
        <v>21.438168861599998</v>
      </c>
      <c r="Q95" s="21">
        <f t="shared" si="4"/>
        <v>12.625</v>
      </c>
      <c r="R95" s="22">
        <f t="shared" si="5"/>
        <v>270.65688187769996</v>
      </c>
    </row>
    <row r="96" spans="1:18" x14ac:dyDescent="0.25">
      <c r="A96" t="s">
        <v>99</v>
      </c>
      <c r="B96">
        <v>7.0423330000000002</v>
      </c>
      <c r="C96">
        <v>0.12191200000000001</v>
      </c>
      <c r="D96">
        <v>2.0000000000000002E-5</v>
      </c>
      <c r="E96">
        <v>0.998668</v>
      </c>
      <c r="F96" s="8" t="s">
        <v>187</v>
      </c>
      <c r="G96" s="9" t="s">
        <v>194</v>
      </c>
      <c r="H96" s="9">
        <v>64</v>
      </c>
      <c r="I96" s="9">
        <v>1</v>
      </c>
      <c r="J96" s="9">
        <v>32</v>
      </c>
      <c r="K96" s="9">
        <v>32</v>
      </c>
      <c r="L96" s="9">
        <v>1</v>
      </c>
      <c r="M96" s="9">
        <v>1</v>
      </c>
      <c r="N96" s="9">
        <v>1</v>
      </c>
      <c r="O96" s="9">
        <v>512</v>
      </c>
      <c r="P96" s="18">
        <f t="shared" si="3"/>
        <v>21.438611657600003</v>
      </c>
      <c r="Q96" s="21">
        <f t="shared" si="4"/>
        <v>12.625</v>
      </c>
      <c r="R96" s="22">
        <f t="shared" si="5"/>
        <v>270.66247217720002</v>
      </c>
    </row>
    <row r="97" spans="1:18" x14ac:dyDescent="0.25">
      <c r="A97" t="s">
        <v>100</v>
      </c>
      <c r="B97">
        <v>7.0422409999999998</v>
      </c>
      <c r="C97">
        <v>0.12191200000000001</v>
      </c>
      <c r="D97">
        <v>2.0000000000000002E-5</v>
      </c>
      <c r="E97">
        <v>0.99863000000000002</v>
      </c>
      <c r="F97" s="8" t="s">
        <v>187</v>
      </c>
      <c r="G97" s="9" t="s">
        <v>194</v>
      </c>
      <c r="H97" s="9">
        <v>64</v>
      </c>
      <c r="I97" s="9">
        <v>1</v>
      </c>
      <c r="J97" s="9">
        <v>32</v>
      </c>
      <c r="K97" s="9">
        <v>32</v>
      </c>
      <c r="L97" s="9">
        <v>1</v>
      </c>
      <c r="M97" s="9">
        <v>1</v>
      </c>
      <c r="N97" s="9">
        <v>2</v>
      </c>
      <c r="O97" s="9">
        <v>512</v>
      </c>
      <c r="P97" s="18">
        <f t="shared" si="3"/>
        <v>21.438056316000001</v>
      </c>
      <c r="Q97" s="21">
        <f t="shared" si="4"/>
        <v>12.625</v>
      </c>
      <c r="R97" s="22">
        <f t="shared" si="5"/>
        <v>270.6554609895</v>
      </c>
    </row>
    <row r="98" spans="1:18" x14ac:dyDescent="0.25">
      <c r="A98" t="s">
        <v>101</v>
      </c>
      <c r="B98">
        <v>7.0423710000000002</v>
      </c>
      <c r="C98">
        <v>0.12191299999999999</v>
      </c>
      <c r="D98">
        <v>2.0000000000000002E-5</v>
      </c>
      <c r="E98">
        <v>0.99863000000000002</v>
      </c>
      <c r="F98" s="8" t="s">
        <v>187</v>
      </c>
      <c r="G98" s="9" t="s">
        <v>194</v>
      </c>
      <c r="H98" s="9">
        <v>64</v>
      </c>
      <c r="I98" s="9">
        <v>1</v>
      </c>
      <c r="J98" s="9">
        <v>32</v>
      </c>
      <c r="K98" s="9">
        <v>32</v>
      </c>
      <c r="L98" s="9">
        <v>1</v>
      </c>
      <c r="M98" s="9">
        <v>1</v>
      </c>
      <c r="N98" s="9">
        <v>4</v>
      </c>
      <c r="O98" s="9">
        <v>512</v>
      </c>
      <c r="P98" s="18">
        <f t="shared" si="3"/>
        <v>21.438296179000002</v>
      </c>
      <c r="Q98" s="21">
        <f t="shared" si="4"/>
        <v>12.625</v>
      </c>
      <c r="R98" s="22">
        <f t="shared" si="5"/>
        <v>270.65848925987501</v>
      </c>
    </row>
    <row r="99" spans="1:18" x14ac:dyDescent="0.25">
      <c r="A99" t="s">
        <v>102</v>
      </c>
      <c r="B99">
        <v>7.0419270000000003</v>
      </c>
      <c r="C99">
        <v>0.12191200000000001</v>
      </c>
      <c r="D99">
        <v>2.0000000000000002E-5</v>
      </c>
      <c r="E99">
        <v>0.99863000000000002</v>
      </c>
      <c r="F99" s="8" t="s">
        <v>187</v>
      </c>
      <c r="G99" s="9" t="s">
        <v>184</v>
      </c>
      <c r="H99" s="9">
        <v>64</v>
      </c>
      <c r="I99" s="9">
        <v>1</v>
      </c>
      <c r="J99" s="9">
        <v>32</v>
      </c>
      <c r="K99" s="9">
        <v>32</v>
      </c>
      <c r="L99" s="9">
        <v>1</v>
      </c>
      <c r="M99" s="9">
        <v>1</v>
      </c>
      <c r="N99" s="9">
        <v>2</v>
      </c>
      <c r="O99" s="9">
        <v>1024</v>
      </c>
      <c r="P99" s="18">
        <f t="shared" si="3"/>
        <v>21.437742316000001</v>
      </c>
      <c r="Q99" s="21">
        <f t="shared" si="4"/>
        <v>12.75</v>
      </c>
      <c r="R99" s="22">
        <f t="shared" si="5"/>
        <v>273.33121452900002</v>
      </c>
    </row>
    <row r="100" spans="1:18" x14ac:dyDescent="0.25">
      <c r="A100" t="s">
        <v>103</v>
      </c>
      <c r="B100">
        <v>7.0424170000000004</v>
      </c>
      <c r="C100">
        <v>0.12191200000000001</v>
      </c>
      <c r="D100">
        <v>2.0000000000000002E-5</v>
      </c>
      <c r="E100">
        <v>0.99863100000000005</v>
      </c>
      <c r="F100" s="8" t="s">
        <v>187</v>
      </c>
      <c r="G100" s="9" t="s">
        <v>184</v>
      </c>
      <c r="H100" s="9">
        <v>64</v>
      </c>
      <c r="I100" s="9">
        <v>1</v>
      </c>
      <c r="J100" s="9">
        <v>32</v>
      </c>
      <c r="K100" s="9">
        <v>32</v>
      </c>
      <c r="L100" s="9">
        <v>1</v>
      </c>
      <c r="M100" s="9">
        <v>1</v>
      </c>
      <c r="N100" s="9">
        <v>2</v>
      </c>
      <c r="O100" s="9">
        <v>256</v>
      </c>
      <c r="P100" s="18">
        <f t="shared" si="3"/>
        <v>21.438244509200004</v>
      </c>
      <c r="Q100" s="21">
        <f t="shared" si="4"/>
        <v>12.5625</v>
      </c>
      <c r="R100" s="22">
        <f t="shared" si="5"/>
        <v>269.31794664682508</v>
      </c>
    </row>
    <row r="101" spans="1:18" x14ac:dyDescent="0.25">
      <c r="A101" t="s">
        <v>104</v>
      </c>
      <c r="B101">
        <v>7.0411229999999998</v>
      </c>
      <c r="C101">
        <v>0.12191200000000001</v>
      </c>
      <c r="D101">
        <v>2.0000000000000002E-5</v>
      </c>
      <c r="E101">
        <v>0.99863000000000002</v>
      </c>
      <c r="F101" s="8" t="s">
        <v>187</v>
      </c>
      <c r="G101" s="9" t="s">
        <v>184</v>
      </c>
      <c r="H101" s="9">
        <v>64</v>
      </c>
      <c r="I101" s="9">
        <v>1</v>
      </c>
      <c r="J101" s="9">
        <v>32</v>
      </c>
      <c r="K101" s="9">
        <v>32</v>
      </c>
      <c r="L101" s="9">
        <v>1</v>
      </c>
      <c r="M101" s="9">
        <v>1</v>
      </c>
      <c r="N101" s="9">
        <v>2</v>
      </c>
      <c r="O101" s="9">
        <v>2048</v>
      </c>
      <c r="P101" s="18">
        <f t="shared" si="3"/>
        <v>21.436938316000003</v>
      </c>
      <c r="Q101" s="21">
        <f t="shared" si="4"/>
        <v>13</v>
      </c>
      <c r="R101" s="22">
        <f t="shared" si="5"/>
        <v>278.68019810800001</v>
      </c>
    </row>
    <row r="102" spans="1:18" x14ac:dyDescent="0.25">
      <c r="A102" t="s">
        <v>105</v>
      </c>
      <c r="B102">
        <v>7.0394959999999998</v>
      </c>
      <c r="C102">
        <v>0.12191200000000001</v>
      </c>
      <c r="D102">
        <v>2.0000000000000002E-5</v>
      </c>
      <c r="E102">
        <v>0.99863000000000002</v>
      </c>
      <c r="F102" s="8" t="s">
        <v>187</v>
      </c>
      <c r="G102" s="9" t="s">
        <v>184</v>
      </c>
      <c r="H102" s="9">
        <v>64</v>
      </c>
      <c r="I102" s="9">
        <v>1</v>
      </c>
      <c r="J102" s="9">
        <v>32</v>
      </c>
      <c r="K102" s="9">
        <v>32</v>
      </c>
      <c r="L102" s="9">
        <v>1</v>
      </c>
      <c r="M102" s="9">
        <v>1</v>
      </c>
      <c r="N102" s="9">
        <v>2</v>
      </c>
      <c r="O102" s="9">
        <v>4096</v>
      </c>
      <c r="P102" s="18">
        <f t="shared" si="3"/>
        <v>21.435311316000004</v>
      </c>
      <c r="Q102" s="21">
        <f t="shared" si="4"/>
        <v>13.5</v>
      </c>
      <c r="R102" s="22">
        <f t="shared" si="5"/>
        <v>289.37670276600005</v>
      </c>
    </row>
    <row r="103" spans="1:18" ht="15.75" thickBot="1" x14ac:dyDescent="0.3">
      <c r="A103" t="s">
        <v>106</v>
      </c>
      <c r="B103">
        <v>7.0422409999999998</v>
      </c>
      <c r="C103">
        <v>0.12191200000000001</v>
      </c>
      <c r="D103">
        <v>2.0000000000000002E-5</v>
      </c>
      <c r="E103">
        <v>0.99863000000000002</v>
      </c>
      <c r="F103" s="10" t="s">
        <v>187</v>
      </c>
      <c r="G103" s="11" t="s">
        <v>184</v>
      </c>
      <c r="H103" s="11">
        <v>64</v>
      </c>
      <c r="I103" s="11">
        <v>1</v>
      </c>
      <c r="J103" s="11">
        <v>32</v>
      </c>
      <c r="K103" s="11">
        <v>32</v>
      </c>
      <c r="L103" s="11">
        <v>1</v>
      </c>
      <c r="M103" s="11">
        <v>1</v>
      </c>
      <c r="N103" s="11">
        <v>2</v>
      </c>
      <c r="O103" s="11">
        <v>512</v>
      </c>
      <c r="P103" s="19">
        <f t="shared" si="3"/>
        <v>21.438056316000001</v>
      </c>
      <c r="Q103" s="21">
        <f t="shared" si="4"/>
        <v>12.625</v>
      </c>
      <c r="R103" s="24">
        <f t="shared" si="5"/>
        <v>270.6554609895</v>
      </c>
    </row>
    <row r="104" spans="1:18" x14ac:dyDescent="0.25">
      <c r="A104" t="s">
        <v>107</v>
      </c>
      <c r="B104">
        <v>1.0883020000000001</v>
      </c>
      <c r="C104">
        <v>2.8579999999999999E-3</v>
      </c>
      <c r="D104">
        <v>3.4999999999999997E-5</v>
      </c>
      <c r="E104">
        <v>0.33643800000000001</v>
      </c>
      <c r="F104" s="6" t="s">
        <v>188</v>
      </c>
      <c r="G104" s="7" t="s">
        <v>190</v>
      </c>
      <c r="H104" s="7">
        <v>128</v>
      </c>
      <c r="I104" s="7">
        <v>1</v>
      </c>
      <c r="J104" s="7">
        <v>32</v>
      </c>
      <c r="K104" s="7">
        <v>32</v>
      </c>
      <c r="L104" s="7">
        <v>1</v>
      </c>
      <c r="M104" s="7">
        <v>1</v>
      </c>
      <c r="N104" s="7">
        <v>2</v>
      </c>
      <c r="O104" s="7">
        <v>512</v>
      </c>
      <c r="P104" s="20">
        <f t="shared" si="3"/>
        <v>2.2145635133999999</v>
      </c>
      <c r="Q104" s="21">
        <f t="shared" si="4"/>
        <v>17.625</v>
      </c>
      <c r="R104" s="25">
        <f t="shared" si="5"/>
        <v>39.031681923674995</v>
      </c>
    </row>
    <row r="105" spans="1:18" x14ac:dyDescent="0.25">
      <c r="A105" t="s">
        <v>108</v>
      </c>
      <c r="B105">
        <v>1.129462</v>
      </c>
      <c r="C105">
        <v>4.2399999999999998E-3</v>
      </c>
      <c r="D105">
        <v>3.6999999999999998E-5</v>
      </c>
      <c r="E105">
        <v>0.69636799999999999</v>
      </c>
      <c r="F105" s="8" t="s">
        <v>188</v>
      </c>
      <c r="G105" s="9" t="s">
        <v>190</v>
      </c>
      <c r="H105" s="9">
        <v>32</v>
      </c>
      <c r="I105" s="9">
        <v>1</v>
      </c>
      <c r="J105" s="9">
        <v>32</v>
      </c>
      <c r="K105" s="9">
        <v>32</v>
      </c>
      <c r="L105" s="9">
        <v>1</v>
      </c>
      <c r="M105" s="9">
        <v>1</v>
      </c>
      <c r="N105" s="9">
        <v>2</v>
      </c>
      <c r="O105" s="9">
        <v>512</v>
      </c>
      <c r="P105" s="18">
        <f t="shared" si="3"/>
        <v>2.4700685935999998</v>
      </c>
      <c r="Q105" s="21">
        <f t="shared" si="4"/>
        <v>10.125</v>
      </c>
      <c r="R105" s="22">
        <f t="shared" si="5"/>
        <v>25.009444510199998</v>
      </c>
    </row>
    <row r="106" spans="1:18" x14ac:dyDescent="0.25">
      <c r="A106" t="s">
        <v>109</v>
      </c>
      <c r="B106">
        <v>1.1022460000000001</v>
      </c>
      <c r="C106">
        <v>3.2320000000000001E-3</v>
      </c>
      <c r="D106">
        <v>3.4E-5</v>
      </c>
      <c r="E106">
        <v>0.54118900000000003</v>
      </c>
      <c r="F106" s="8" t="s">
        <v>188</v>
      </c>
      <c r="G106" s="9" t="s">
        <v>190</v>
      </c>
      <c r="H106" s="9">
        <v>64</v>
      </c>
      <c r="I106" s="9">
        <v>1</v>
      </c>
      <c r="J106" s="9">
        <v>32</v>
      </c>
      <c r="K106" s="9">
        <v>32</v>
      </c>
      <c r="L106" s="9">
        <v>1</v>
      </c>
      <c r="M106" s="9">
        <v>1</v>
      </c>
      <c r="N106" s="9">
        <v>2</v>
      </c>
      <c r="O106" s="9">
        <v>512</v>
      </c>
      <c r="P106" s="18">
        <f t="shared" si="3"/>
        <v>2.3116583274</v>
      </c>
      <c r="Q106" s="21">
        <f t="shared" si="4"/>
        <v>12.625</v>
      </c>
      <c r="R106" s="22">
        <f t="shared" si="5"/>
        <v>29.184686383424999</v>
      </c>
    </row>
    <row r="107" spans="1:18" x14ac:dyDescent="0.25">
      <c r="A107" t="s">
        <v>110</v>
      </c>
      <c r="B107">
        <v>1.1022460000000001</v>
      </c>
      <c r="C107">
        <v>3.2320000000000001E-3</v>
      </c>
      <c r="D107">
        <v>3.4E-5</v>
      </c>
      <c r="E107">
        <v>0.54118900000000003</v>
      </c>
      <c r="F107" s="8" t="s">
        <v>188</v>
      </c>
      <c r="G107" s="9" t="s">
        <v>195</v>
      </c>
      <c r="H107" s="9">
        <v>64</v>
      </c>
      <c r="I107" s="9">
        <v>1</v>
      </c>
      <c r="J107" s="9">
        <v>32</v>
      </c>
      <c r="K107" s="9">
        <v>32</v>
      </c>
      <c r="L107" s="9">
        <v>1</v>
      </c>
      <c r="M107" s="9">
        <v>1</v>
      </c>
      <c r="N107" s="9">
        <v>2</v>
      </c>
      <c r="O107" s="9">
        <v>512</v>
      </c>
      <c r="P107" s="18">
        <f t="shared" si="3"/>
        <v>2.3116583274</v>
      </c>
      <c r="Q107" s="21">
        <f t="shared" si="4"/>
        <v>12.625</v>
      </c>
      <c r="R107" s="22">
        <f t="shared" si="5"/>
        <v>29.184686383424999</v>
      </c>
    </row>
    <row r="108" spans="1:18" x14ac:dyDescent="0.25">
      <c r="A108" t="s">
        <v>111</v>
      </c>
      <c r="B108">
        <v>1.097575</v>
      </c>
      <c r="C108">
        <v>2.2200000000000002E-3</v>
      </c>
      <c r="D108">
        <v>2.9E-5</v>
      </c>
      <c r="E108">
        <v>0.79192600000000002</v>
      </c>
      <c r="F108" s="8" t="s">
        <v>188</v>
      </c>
      <c r="G108" s="9" t="s">
        <v>191</v>
      </c>
      <c r="H108" s="9">
        <v>64</v>
      </c>
      <c r="I108" s="9">
        <v>1</v>
      </c>
      <c r="J108" s="9">
        <v>128</v>
      </c>
      <c r="K108" s="9">
        <v>128</v>
      </c>
      <c r="L108" s="9">
        <v>1</v>
      </c>
      <c r="M108" s="9">
        <v>1</v>
      </c>
      <c r="N108" s="9">
        <v>2</v>
      </c>
      <c r="O108" s="9">
        <v>512</v>
      </c>
      <c r="P108" s="18">
        <f t="shared" si="3"/>
        <v>2.2981691574000003</v>
      </c>
      <c r="Q108" s="21">
        <f t="shared" si="4"/>
        <v>27.625</v>
      </c>
      <c r="R108" s="22">
        <f t="shared" si="5"/>
        <v>63.486922973175005</v>
      </c>
    </row>
    <row r="109" spans="1:18" x14ac:dyDescent="0.25">
      <c r="A109" t="s">
        <v>112</v>
      </c>
      <c r="B109">
        <v>1.4534739999999999</v>
      </c>
      <c r="C109">
        <v>2.2169999999999998E-3</v>
      </c>
      <c r="D109">
        <v>6.1155000000000001E-2</v>
      </c>
      <c r="E109">
        <v>2.7237999999999998E-2</v>
      </c>
      <c r="F109" s="8" t="s">
        <v>188</v>
      </c>
      <c r="G109" s="9" t="s">
        <v>191</v>
      </c>
      <c r="H109" s="9">
        <v>64</v>
      </c>
      <c r="I109" s="9">
        <v>1</v>
      </c>
      <c r="J109" s="9">
        <v>128</v>
      </c>
      <c r="K109" s="9">
        <v>16</v>
      </c>
      <c r="L109" s="9">
        <v>1</v>
      </c>
      <c r="M109" s="9">
        <v>1</v>
      </c>
      <c r="N109" s="9">
        <v>2</v>
      </c>
      <c r="O109" s="9">
        <v>512</v>
      </c>
      <c r="P109" s="18">
        <f t="shared" si="3"/>
        <v>3.2598066536000001</v>
      </c>
      <c r="Q109" s="21">
        <f t="shared" si="4"/>
        <v>18.875</v>
      </c>
      <c r="R109" s="22">
        <f t="shared" si="5"/>
        <v>61.528850586700003</v>
      </c>
    </row>
    <row r="110" spans="1:18" x14ac:dyDescent="0.25">
      <c r="A110" t="s">
        <v>113</v>
      </c>
      <c r="B110">
        <v>1.122811</v>
      </c>
      <c r="C110">
        <v>2.2200000000000002E-3</v>
      </c>
      <c r="D110">
        <v>4.6680000000000003E-3</v>
      </c>
      <c r="E110">
        <v>0.25069599999999997</v>
      </c>
      <c r="F110" s="8" t="s">
        <v>188</v>
      </c>
      <c r="G110" s="9" t="s">
        <v>191</v>
      </c>
      <c r="H110" s="9">
        <v>64</v>
      </c>
      <c r="I110" s="9">
        <v>1</v>
      </c>
      <c r="J110" s="9">
        <v>128</v>
      </c>
      <c r="K110" s="9">
        <v>32</v>
      </c>
      <c r="L110" s="9">
        <v>1</v>
      </c>
      <c r="M110" s="9">
        <v>1</v>
      </c>
      <c r="N110" s="9">
        <v>2</v>
      </c>
      <c r="O110" s="9">
        <v>512</v>
      </c>
      <c r="P110" s="18">
        <f t="shared" si="3"/>
        <v>2.3643704047999998</v>
      </c>
      <c r="Q110" s="21">
        <f t="shared" si="4"/>
        <v>20.125</v>
      </c>
      <c r="R110" s="22">
        <f t="shared" si="5"/>
        <v>47.582954396599995</v>
      </c>
    </row>
    <row r="111" spans="1:18" x14ac:dyDescent="0.25">
      <c r="A111" t="s">
        <v>114</v>
      </c>
      <c r="B111">
        <v>1.097653</v>
      </c>
      <c r="C111">
        <v>2.2200000000000002E-3</v>
      </c>
      <c r="D111">
        <v>3.4999999999999997E-5</v>
      </c>
      <c r="E111">
        <v>0.78995199999999999</v>
      </c>
      <c r="F111" s="8" t="s">
        <v>188</v>
      </c>
      <c r="G111" s="9" t="s">
        <v>191</v>
      </c>
      <c r="H111" s="9">
        <v>64</v>
      </c>
      <c r="I111" s="9">
        <v>1</v>
      </c>
      <c r="J111" s="9">
        <v>128</v>
      </c>
      <c r="K111" s="9">
        <v>64</v>
      </c>
      <c r="L111" s="9">
        <v>1</v>
      </c>
      <c r="M111" s="9">
        <v>1</v>
      </c>
      <c r="N111" s="9">
        <v>2</v>
      </c>
      <c r="O111" s="9">
        <v>512</v>
      </c>
      <c r="P111" s="18">
        <f t="shared" si="3"/>
        <v>2.298337176</v>
      </c>
      <c r="Q111" s="21">
        <f t="shared" si="4"/>
        <v>22.625</v>
      </c>
      <c r="R111" s="22">
        <f t="shared" si="5"/>
        <v>51.999878606999999</v>
      </c>
    </row>
    <row r="112" spans="1:18" x14ac:dyDescent="0.25">
      <c r="A112" t="s">
        <v>115</v>
      </c>
      <c r="B112">
        <v>1.118355</v>
      </c>
      <c r="C112">
        <v>7.8790000000000006E-3</v>
      </c>
      <c r="D112">
        <v>2.9E-5</v>
      </c>
      <c r="E112">
        <v>0.230268</v>
      </c>
      <c r="F112" s="8" t="s">
        <v>188</v>
      </c>
      <c r="G112" s="9" t="s">
        <v>191</v>
      </c>
      <c r="H112" s="9">
        <v>64</v>
      </c>
      <c r="I112" s="9">
        <v>1</v>
      </c>
      <c r="J112" s="9">
        <v>16</v>
      </c>
      <c r="K112" s="9">
        <v>128</v>
      </c>
      <c r="L112" s="9">
        <v>1</v>
      </c>
      <c r="M112" s="9">
        <v>1</v>
      </c>
      <c r="N112" s="9">
        <v>2</v>
      </c>
      <c r="O112" s="9">
        <v>512</v>
      </c>
      <c r="P112" s="18">
        <f t="shared" si="3"/>
        <v>2.3795309344</v>
      </c>
      <c r="Q112" s="21">
        <f t="shared" si="4"/>
        <v>18.875</v>
      </c>
      <c r="R112" s="22">
        <f t="shared" si="5"/>
        <v>44.913646386799996</v>
      </c>
    </row>
    <row r="113" spans="1:18" x14ac:dyDescent="0.25">
      <c r="A113" t="s">
        <v>116</v>
      </c>
      <c r="B113">
        <v>1.4724429999999999</v>
      </c>
      <c r="C113">
        <v>6.6990000000000001E-3</v>
      </c>
      <c r="D113">
        <v>6.1148000000000001E-2</v>
      </c>
      <c r="E113">
        <v>2.4827999999999999E-2</v>
      </c>
      <c r="F113" s="8" t="s">
        <v>188</v>
      </c>
      <c r="G113" s="9" t="s">
        <v>191</v>
      </c>
      <c r="H113" s="9">
        <v>64</v>
      </c>
      <c r="I113" s="9">
        <v>1</v>
      </c>
      <c r="J113" s="9">
        <v>16</v>
      </c>
      <c r="K113" s="9">
        <v>16</v>
      </c>
      <c r="L113" s="9">
        <v>1</v>
      </c>
      <c r="M113" s="9">
        <v>1</v>
      </c>
      <c r="N113" s="9">
        <v>2</v>
      </c>
      <c r="O113" s="9">
        <v>512</v>
      </c>
      <c r="P113" s="18">
        <f t="shared" si="3"/>
        <v>3.3193635316000001</v>
      </c>
      <c r="Q113" s="21">
        <f t="shared" si="4"/>
        <v>10.125</v>
      </c>
      <c r="R113" s="22">
        <f t="shared" si="5"/>
        <v>33.608555757449999</v>
      </c>
    </row>
    <row r="114" spans="1:18" x14ac:dyDescent="0.25">
      <c r="A114" t="s">
        <v>117</v>
      </c>
      <c r="B114">
        <v>1.144496</v>
      </c>
      <c r="C114">
        <v>7.8790000000000006E-3</v>
      </c>
      <c r="D114">
        <v>4.6680000000000003E-3</v>
      </c>
      <c r="E114">
        <v>0.14080999999999999</v>
      </c>
      <c r="F114" s="8" t="s">
        <v>188</v>
      </c>
      <c r="G114" s="9" t="s">
        <v>191</v>
      </c>
      <c r="H114" s="9">
        <v>64</v>
      </c>
      <c r="I114" s="9">
        <v>1</v>
      </c>
      <c r="J114" s="9">
        <v>16</v>
      </c>
      <c r="K114" s="9">
        <v>32</v>
      </c>
      <c r="L114" s="9">
        <v>1</v>
      </c>
      <c r="M114" s="9">
        <v>1</v>
      </c>
      <c r="N114" s="9">
        <v>2</v>
      </c>
      <c r="O114" s="9">
        <v>512</v>
      </c>
      <c r="P114" s="18">
        <f t="shared" si="3"/>
        <v>2.446640307</v>
      </c>
      <c r="Q114" s="21">
        <f t="shared" si="4"/>
        <v>11.375</v>
      </c>
      <c r="R114" s="22">
        <f t="shared" si="5"/>
        <v>27.830533492124999</v>
      </c>
    </row>
    <row r="115" spans="1:18" x14ac:dyDescent="0.25">
      <c r="A115" t="s">
        <v>118</v>
      </c>
      <c r="B115">
        <v>1.118433</v>
      </c>
      <c r="C115">
        <v>7.8790000000000006E-3</v>
      </c>
      <c r="D115">
        <v>3.4E-5</v>
      </c>
      <c r="E115">
        <v>0.230099</v>
      </c>
      <c r="F115" s="8" t="s">
        <v>188</v>
      </c>
      <c r="G115" s="9" t="s">
        <v>191</v>
      </c>
      <c r="H115" s="9">
        <v>64</v>
      </c>
      <c r="I115" s="9">
        <v>1</v>
      </c>
      <c r="J115" s="9">
        <v>16</v>
      </c>
      <c r="K115" s="9">
        <v>64</v>
      </c>
      <c r="L115" s="9">
        <v>1</v>
      </c>
      <c r="M115" s="9">
        <v>1</v>
      </c>
      <c r="N115" s="9">
        <v>2</v>
      </c>
      <c r="O115" s="9">
        <v>512</v>
      </c>
      <c r="P115" s="18">
        <f t="shared" si="3"/>
        <v>2.3796403386999998</v>
      </c>
      <c r="Q115" s="21">
        <f t="shared" si="4"/>
        <v>13.875</v>
      </c>
      <c r="R115" s="22">
        <f t="shared" si="5"/>
        <v>33.017509699462494</v>
      </c>
    </row>
    <row r="116" spans="1:18" x14ac:dyDescent="0.25">
      <c r="A116" t="s">
        <v>119</v>
      </c>
      <c r="B116">
        <v>1.1023210000000001</v>
      </c>
      <c r="C116">
        <v>3.2320000000000001E-3</v>
      </c>
      <c r="D116">
        <v>2.9E-5</v>
      </c>
      <c r="E116">
        <v>0.54210800000000003</v>
      </c>
      <c r="F116" s="8" t="s">
        <v>188</v>
      </c>
      <c r="G116" s="9" t="s">
        <v>191</v>
      </c>
      <c r="H116" s="9">
        <v>64</v>
      </c>
      <c r="I116" s="9">
        <v>1</v>
      </c>
      <c r="J116" s="9">
        <v>32</v>
      </c>
      <c r="K116" s="9">
        <v>128</v>
      </c>
      <c r="L116" s="9">
        <v>1</v>
      </c>
      <c r="M116" s="9">
        <v>1</v>
      </c>
      <c r="N116" s="9">
        <v>2</v>
      </c>
      <c r="O116" s="9">
        <v>512</v>
      </c>
      <c r="P116" s="18">
        <f t="shared" si="3"/>
        <v>2.3117124188</v>
      </c>
      <c r="Q116" s="21">
        <f t="shared" si="4"/>
        <v>20.125</v>
      </c>
      <c r="R116" s="22">
        <f t="shared" si="5"/>
        <v>46.52321242835</v>
      </c>
    </row>
    <row r="117" spans="1:18" x14ac:dyDescent="0.25">
      <c r="A117" t="s">
        <v>120</v>
      </c>
      <c r="B117">
        <v>1.4570860000000001</v>
      </c>
      <c r="C117">
        <v>3.2200000000000002E-3</v>
      </c>
      <c r="D117">
        <v>6.1151999999999998E-2</v>
      </c>
      <c r="E117">
        <v>2.6505000000000001E-2</v>
      </c>
      <c r="F117" s="8" t="s">
        <v>188</v>
      </c>
      <c r="G117" s="9" t="s">
        <v>191</v>
      </c>
      <c r="H117" s="9">
        <v>64</v>
      </c>
      <c r="I117" s="9">
        <v>1</v>
      </c>
      <c r="J117" s="9">
        <v>32</v>
      </c>
      <c r="K117" s="9">
        <v>16</v>
      </c>
      <c r="L117" s="9">
        <v>1</v>
      </c>
      <c r="M117" s="9">
        <v>1</v>
      </c>
      <c r="N117" s="9">
        <v>2</v>
      </c>
      <c r="O117" s="9">
        <v>512</v>
      </c>
      <c r="P117" s="18">
        <f t="shared" si="3"/>
        <v>3.2714239860000003</v>
      </c>
      <c r="Q117" s="21">
        <f t="shared" si="4"/>
        <v>11.375</v>
      </c>
      <c r="R117" s="22">
        <f t="shared" si="5"/>
        <v>37.212447840750002</v>
      </c>
    </row>
    <row r="118" spans="1:18" x14ac:dyDescent="0.25">
      <c r="A118" t="s">
        <v>121</v>
      </c>
      <c r="B118">
        <v>1.127802</v>
      </c>
      <c r="C118">
        <v>3.2309999999999999E-3</v>
      </c>
      <c r="D118">
        <v>4.6680000000000003E-3</v>
      </c>
      <c r="E118">
        <v>0.21732499999999999</v>
      </c>
      <c r="F118" s="8" t="s">
        <v>188</v>
      </c>
      <c r="G118" s="9" t="s">
        <v>191</v>
      </c>
      <c r="H118" s="9">
        <v>64</v>
      </c>
      <c r="I118" s="9">
        <v>1</v>
      </c>
      <c r="J118" s="9">
        <v>32</v>
      </c>
      <c r="K118" s="9">
        <v>32</v>
      </c>
      <c r="L118" s="9">
        <v>1</v>
      </c>
      <c r="M118" s="9">
        <v>1</v>
      </c>
      <c r="N118" s="9">
        <v>2</v>
      </c>
      <c r="O118" s="9">
        <v>512</v>
      </c>
      <c r="P118" s="18">
        <f t="shared" si="3"/>
        <v>2.3784570174999997</v>
      </c>
      <c r="Q118" s="21">
        <f t="shared" si="4"/>
        <v>12.625</v>
      </c>
      <c r="R118" s="22">
        <f t="shared" si="5"/>
        <v>30.028019845937497</v>
      </c>
    </row>
    <row r="119" spans="1:18" x14ac:dyDescent="0.25">
      <c r="A119" t="s">
        <v>122</v>
      </c>
      <c r="B119">
        <v>1.1022460000000001</v>
      </c>
      <c r="C119">
        <v>3.2320000000000001E-3</v>
      </c>
      <c r="D119">
        <v>3.4E-5</v>
      </c>
      <c r="E119">
        <v>0.54118900000000003</v>
      </c>
      <c r="F119" s="8" t="s">
        <v>188</v>
      </c>
      <c r="G119" s="9" t="s">
        <v>191</v>
      </c>
      <c r="H119" s="9">
        <v>64</v>
      </c>
      <c r="I119" s="9">
        <v>1</v>
      </c>
      <c r="J119" s="9">
        <v>32</v>
      </c>
      <c r="K119" s="9">
        <v>64</v>
      </c>
      <c r="L119" s="9">
        <v>1</v>
      </c>
      <c r="M119" s="9">
        <v>1</v>
      </c>
      <c r="N119" s="9">
        <v>2</v>
      </c>
      <c r="O119" s="9">
        <v>512</v>
      </c>
      <c r="P119" s="18">
        <f t="shared" si="3"/>
        <v>2.3116583274</v>
      </c>
      <c r="Q119" s="21">
        <f t="shared" si="4"/>
        <v>15.125</v>
      </c>
      <c r="R119" s="22">
        <f t="shared" si="5"/>
        <v>34.963832201925001</v>
      </c>
    </row>
    <row r="120" spans="1:18" x14ac:dyDescent="0.25">
      <c r="A120" t="s">
        <v>123</v>
      </c>
      <c r="B120">
        <v>1.0994740000000001</v>
      </c>
      <c r="C120">
        <v>2.5609999999999999E-3</v>
      </c>
      <c r="D120">
        <v>2.9E-5</v>
      </c>
      <c r="E120">
        <v>0.68281400000000003</v>
      </c>
      <c r="F120" s="8" t="s">
        <v>188</v>
      </c>
      <c r="G120" s="9" t="s">
        <v>191</v>
      </c>
      <c r="H120" s="9">
        <v>64</v>
      </c>
      <c r="I120" s="9">
        <v>1</v>
      </c>
      <c r="J120" s="9">
        <v>64</v>
      </c>
      <c r="K120" s="9">
        <v>128</v>
      </c>
      <c r="L120" s="9">
        <v>1</v>
      </c>
      <c r="M120" s="9">
        <v>1</v>
      </c>
      <c r="N120" s="9">
        <v>2</v>
      </c>
      <c r="O120" s="9">
        <v>512</v>
      </c>
      <c r="P120" s="18">
        <f t="shared" si="3"/>
        <v>2.3022228260000004</v>
      </c>
      <c r="Q120" s="21">
        <f t="shared" si="4"/>
        <v>22.625</v>
      </c>
      <c r="R120" s="22">
        <f t="shared" si="5"/>
        <v>52.087791438250008</v>
      </c>
    </row>
    <row r="121" spans="1:18" x14ac:dyDescent="0.25">
      <c r="A121" t="s">
        <v>124</v>
      </c>
      <c r="B121">
        <v>1.4545809999999999</v>
      </c>
      <c r="C121">
        <v>2.5539999999999998E-3</v>
      </c>
      <c r="D121">
        <v>6.1154E-2</v>
      </c>
      <c r="E121">
        <v>2.6834E-2</v>
      </c>
      <c r="F121" s="8" t="s">
        <v>188</v>
      </c>
      <c r="G121" s="9" t="s">
        <v>191</v>
      </c>
      <c r="H121" s="9">
        <v>64</v>
      </c>
      <c r="I121" s="9">
        <v>1</v>
      </c>
      <c r="J121" s="9">
        <v>64</v>
      </c>
      <c r="K121" s="9">
        <v>16</v>
      </c>
      <c r="L121" s="9">
        <v>1</v>
      </c>
      <c r="M121" s="9">
        <v>1</v>
      </c>
      <c r="N121" s="9">
        <v>2</v>
      </c>
      <c r="O121" s="9">
        <v>512</v>
      </c>
      <c r="P121" s="18">
        <f t="shared" si="3"/>
        <v>3.2626150471999997</v>
      </c>
      <c r="Q121" s="21">
        <f t="shared" si="4"/>
        <v>13.875</v>
      </c>
      <c r="R121" s="22">
        <f t="shared" si="5"/>
        <v>45.268783779899998</v>
      </c>
    </row>
    <row r="122" spans="1:18" x14ac:dyDescent="0.25">
      <c r="A122" t="s">
        <v>125</v>
      </c>
      <c r="B122">
        <v>1.1242639999999999</v>
      </c>
      <c r="C122">
        <v>2.5609999999999999E-3</v>
      </c>
      <c r="D122">
        <v>4.6680000000000003E-3</v>
      </c>
      <c r="E122">
        <v>0.23718400000000001</v>
      </c>
      <c r="F122" s="8" t="s">
        <v>188</v>
      </c>
      <c r="G122" s="9" t="s">
        <v>191</v>
      </c>
      <c r="H122" s="9">
        <v>64</v>
      </c>
      <c r="I122" s="9">
        <v>1</v>
      </c>
      <c r="J122" s="9">
        <v>64</v>
      </c>
      <c r="K122" s="9">
        <v>32</v>
      </c>
      <c r="L122" s="9">
        <v>1</v>
      </c>
      <c r="M122" s="9">
        <v>1</v>
      </c>
      <c r="N122" s="9">
        <v>2</v>
      </c>
      <c r="O122" s="9">
        <v>512</v>
      </c>
      <c r="P122" s="18">
        <f t="shared" si="3"/>
        <v>2.3680143135999998</v>
      </c>
      <c r="Q122" s="21">
        <f t="shared" si="4"/>
        <v>15.125</v>
      </c>
      <c r="R122" s="22">
        <f t="shared" si="5"/>
        <v>35.816216493199995</v>
      </c>
    </row>
    <row r="123" spans="1:18" x14ac:dyDescent="0.25">
      <c r="A123" t="s">
        <v>126</v>
      </c>
      <c r="B123">
        <v>1.099343</v>
      </c>
      <c r="C123">
        <v>2.5600000000000002E-3</v>
      </c>
      <c r="D123">
        <v>3.4E-5</v>
      </c>
      <c r="E123">
        <v>0.681334</v>
      </c>
      <c r="F123" s="8" t="s">
        <v>188</v>
      </c>
      <c r="G123" s="9" t="s">
        <v>191</v>
      </c>
      <c r="H123" s="9">
        <v>64</v>
      </c>
      <c r="I123" s="9">
        <v>1</v>
      </c>
      <c r="J123" s="9">
        <v>64</v>
      </c>
      <c r="K123" s="9">
        <v>64</v>
      </c>
      <c r="L123" s="9">
        <v>1</v>
      </c>
      <c r="M123" s="9">
        <v>1</v>
      </c>
      <c r="N123" s="9">
        <v>2</v>
      </c>
      <c r="O123" s="9">
        <v>512</v>
      </c>
      <c r="P123" s="18">
        <f t="shared" si="3"/>
        <v>2.3020210396</v>
      </c>
      <c r="Q123" s="21">
        <f t="shared" si="4"/>
        <v>17.625</v>
      </c>
      <c r="R123" s="22">
        <f t="shared" si="5"/>
        <v>40.573120822950003</v>
      </c>
    </row>
    <row r="124" spans="1:18" x14ac:dyDescent="0.25">
      <c r="A124" t="s">
        <v>127</v>
      </c>
      <c r="B124">
        <v>1.1022460000000001</v>
      </c>
      <c r="C124">
        <v>3.2320000000000001E-3</v>
      </c>
      <c r="D124">
        <v>3.4E-5</v>
      </c>
      <c r="E124">
        <v>0.54118900000000003</v>
      </c>
      <c r="F124" s="8" t="s">
        <v>188</v>
      </c>
      <c r="G124" s="9" t="s">
        <v>192</v>
      </c>
      <c r="H124" s="9">
        <v>64</v>
      </c>
      <c r="I124" s="9">
        <v>1</v>
      </c>
      <c r="J124" s="9">
        <v>32</v>
      </c>
      <c r="K124" s="9">
        <v>32</v>
      </c>
      <c r="L124" s="9">
        <v>1</v>
      </c>
      <c r="M124" s="9">
        <v>1</v>
      </c>
      <c r="N124" s="9">
        <v>2</v>
      </c>
      <c r="O124" s="9">
        <v>512</v>
      </c>
      <c r="P124" s="18">
        <f t="shared" si="3"/>
        <v>2.3116583274</v>
      </c>
      <c r="Q124" s="21">
        <f t="shared" si="4"/>
        <v>12.625</v>
      </c>
      <c r="R124" s="22">
        <f t="shared" si="5"/>
        <v>29.184686383424999</v>
      </c>
    </row>
    <row r="125" spans="1:18" x14ac:dyDescent="0.25">
      <c r="A125" t="s">
        <v>128</v>
      </c>
      <c r="B125">
        <v>1.098104</v>
      </c>
      <c r="C125">
        <v>2.3900000000000002E-3</v>
      </c>
      <c r="D125">
        <v>3.4E-5</v>
      </c>
      <c r="E125">
        <v>0.73771900000000001</v>
      </c>
      <c r="F125" s="8" t="s">
        <v>188</v>
      </c>
      <c r="G125" s="9" t="s">
        <v>192</v>
      </c>
      <c r="H125" s="9">
        <v>64</v>
      </c>
      <c r="I125" s="9">
        <v>1</v>
      </c>
      <c r="J125" s="9">
        <v>32</v>
      </c>
      <c r="K125" s="9">
        <v>32</v>
      </c>
      <c r="L125" s="9">
        <v>2</v>
      </c>
      <c r="M125" s="9">
        <v>1</v>
      </c>
      <c r="N125" s="9">
        <v>2</v>
      </c>
      <c r="O125" s="9">
        <v>512</v>
      </c>
      <c r="P125" s="18">
        <f t="shared" si="3"/>
        <v>2.3011670855999999</v>
      </c>
      <c r="Q125" s="21">
        <f t="shared" si="4"/>
        <v>15.125</v>
      </c>
      <c r="R125" s="22">
        <f t="shared" si="5"/>
        <v>34.805152169700001</v>
      </c>
    </row>
    <row r="126" spans="1:18" x14ac:dyDescent="0.25">
      <c r="A126" t="s">
        <v>129</v>
      </c>
      <c r="B126">
        <v>1.0975969999999999</v>
      </c>
      <c r="C126">
        <v>2.2780000000000001E-3</v>
      </c>
      <c r="D126">
        <v>3.4E-5</v>
      </c>
      <c r="E126">
        <v>0.77809499999999998</v>
      </c>
      <c r="F126" s="8" t="s">
        <v>188</v>
      </c>
      <c r="G126" s="9" t="s">
        <v>192</v>
      </c>
      <c r="H126" s="9">
        <v>64</v>
      </c>
      <c r="I126" s="9">
        <v>1</v>
      </c>
      <c r="J126" s="9">
        <v>32</v>
      </c>
      <c r="K126" s="9">
        <v>32</v>
      </c>
      <c r="L126" s="9">
        <v>4</v>
      </c>
      <c r="M126" s="9">
        <v>1</v>
      </c>
      <c r="N126" s="9">
        <v>2</v>
      </c>
      <c r="O126" s="9">
        <v>512</v>
      </c>
      <c r="P126" s="18">
        <f t="shared" si="3"/>
        <v>2.3006125639999997</v>
      </c>
      <c r="Q126" s="21">
        <f t="shared" si="4"/>
        <v>20.125</v>
      </c>
      <c r="R126" s="22">
        <f t="shared" si="5"/>
        <v>46.299827850499994</v>
      </c>
    </row>
    <row r="127" spans="1:18" x14ac:dyDescent="0.25">
      <c r="A127" t="s">
        <v>130</v>
      </c>
      <c r="B127">
        <v>1.1022460000000001</v>
      </c>
      <c r="C127">
        <v>3.2320000000000001E-3</v>
      </c>
      <c r="D127">
        <v>3.4E-5</v>
      </c>
      <c r="E127">
        <v>0.54118900000000003</v>
      </c>
      <c r="F127" s="8" t="s">
        <v>188</v>
      </c>
      <c r="G127" s="9" t="s">
        <v>193</v>
      </c>
      <c r="H127" s="9">
        <v>64</v>
      </c>
      <c r="I127" s="9">
        <v>1</v>
      </c>
      <c r="J127" s="9">
        <v>32</v>
      </c>
      <c r="K127" s="9">
        <v>32</v>
      </c>
      <c r="L127" s="9">
        <v>1</v>
      </c>
      <c r="M127" s="9">
        <v>1</v>
      </c>
      <c r="N127" s="9">
        <v>2</v>
      </c>
      <c r="O127" s="9">
        <v>512</v>
      </c>
      <c r="P127" s="18">
        <f t="shared" si="3"/>
        <v>2.3116583274</v>
      </c>
      <c r="Q127" s="21">
        <f t="shared" si="4"/>
        <v>12.625</v>
      </c>
      <c r="R127" s="22">
        <f t="shared" si="5"/>
        <v>29.184686383424999</v>
      </c>
    </row>
    <row r="128" spans="1:18" x14ac:dyDescent="0.25">
      <c r="A128" t="s">
        <v>131</v>
      </c>
      <c r="B128">
        <v>1.1023210000000001</v>
      </c>
      <c r="C128">
        <v>3.2320000000000001E-3</v>
      </c>
      <c r="D128">
        <v>1.9000000000000001E-5</v>
      </c>
      <c r="E128">
        <v>0.54366899999999996</v>
      </c>
      <c r="F128" s="8" t="s">
        <v>188</v>
      </c>
      <c r="G128" s="9" t="s">
        <v>193</v>
      </c>
      <c r="H128" s="9">
        <v>64</v>
      </c>
      <c r="I128" s="9">
        <v>1</v>
      </c>
      <c r="J128" s="9">
        <v>32</v>
      </c>
      <c r="K128" s="9">
        <v>32</v>
      </c>
      <c r="L128" s="9">
        <v>1</v>
      </c>
      <c r="M128" s="9">
        <v>2</v>
      </c>
      <c r="N128" s="9">
        <v>2</v>
      </c>
      <c r="O128" s="9">
        <v>512</v>
      </c>
      <c r="P128" s="18">
        <f t="shared" si="3"/>
        <v>2.3115777919</v>
      </c>
      <c r="Q128" s="21">
        <f t="shared" si="4"/>
        <v>12.625</v>
      </c>
      <c r="R128" s="22">
        <f t="shared" si="5"/>
        <v>29.183669622737501</v>
      </c>
    </row>
    <row r="129" spans="1:18" x14ac:dyDescent="0.25">
      <c r="A129" t="s">
        <v>132</v>
      </c>
      <c r="B129">
        <v>1.1022430000000001</v>
      </c>
      <c r="C129">
        <v>3.2320000000000001E-3</v>
      </c>
      <c r="D129">
        <v>1.9000000000000001E-5</v>
      </c>
      <c r="E129">
        <v>0.54369500000000004</v>
      </c>
      <c r="F129" s="8" t="s">
        <v>188</v>
      </c>
      <c r="G129" s="9" t="s">
        <v>193</v>
      </c>
      <c r="H129" s="9">
        <v>64</v>
      </c>
      <c r="I129" s="9">
        <v>1</v>
      </c>
      <c r="J129" s="9">
        <v>32</v>
      </c>
      <c r="K129" s="9">
        <v>32</v>
      </c>
      <c r="L129" s="9">
        <v>1</v>
      </c>
      <c r="M129" s="9">
        <v>4</v>
      </c>
      <c r="N129" s="9">
        <v>2</v>
      </c>
      <c r="O129" s="9">
        <v>512</v>
      </c>
      <c r="P129" s="18">
        <f t="shared" si="3"/>
        <v>2.3115082445000001</v>
      </c>
      <c r="Q129" s="21">
        <f t="shared" si="4"/>
        <v>12.625</v>
      </c>
      <c r="R129" s="22">
        <f t="shared" si="5"/>
        <v>29.182791586812503</v>
      </c>
    </row>
    <row r="130" spans="1:18" x14ac:dyDescent="0.25">
      <c r="A130" t="s">
        <v>133</v>
      </c>
      <c r="B130">
        <v>1.1036170000000001</v>
      </c>
      <c r="C130">
        <v>3.2320000000000001E-3</v>
      </c>
      <c r="D130">
        <v>3.4E-5</v>
      </c>
      <c r="E130">
        <v>0.56542700000000001</v>
      </c>
      <c r="F130" s="8" t="s">
        <v>188</v>
      </c>
      <c r="G130" s="9" t="s">
        <v>194</v>
      </c>
      <c r="H130" s="9">
        <v>64</v>
      </c>
      <c r="I130" s="9">
        <v>1</v>
      </c>
      <c r="J130" s="9">
        <v>32</v>
      </c>
      <c r="K130" s="9">
        <v>32</v>
      </c>
      <c r="L130" s="9">
        <v>1</v>
      </c>
      <c r="M130" s="9">
        <v>1</v>
      </c>
      <c r="N130" s="9">
        <v>1</v>
      </c>
      <c r="O130" s="9">
        <v>512</v>
      </c>
      <c r="P130" s="18">
        <f t="shared" si="3"/>
        <v>2.3209454581999998</v>
      </c>
      <c r="Q130" s="21">
        <f t="shared" si="4"/>
        <v>12.625</v>
      </c>
      <c r="R130" s="22">
        <f t="shared" si="5"/>
        <v>29.301936409774996</v>
      </c>
    </row>
    <row r="131" spans="1:18" x14ac:dyDescent="0.25">
      <c r="A131" t="s">
        <v>134</v>
      </c>
      <c r="B131">
        <v>1.1022460000000001</v>
      </c>
      <c r="C131">
        <v>3.2320000000000001E-3</v>
      </c>
      <c r="D131">
        <v>3.4E-5</v>
      </c>
      <c r="E131">
        <v>0.54118900000000003</v>
      </c>
      <c r="F131" s="8" t="s">
        <v>188</v>
      </c>
      <c r="G131" s="9" t="s">
        <v>194</v>
      </c>
      <c r="H131" s="9">
        <v>64</v>
      </c>
      <c r="I131" s="9">
        <v>1</v>
      </c>
      <c r="J131" s="9">
        <v>32</v>
      </c>
      <c r="K131" s="9">
        <v>32</v>
      </c>
      <c r="L131" s="9">
        <v>1</v>
      </c>
      <c r="M131" s="9">
        <v>1</v>
      </c>
      <c r="N131" s="9">
        <v>2</v>
      </c>
      <c r="O131" s="9">
        <v>512</v>
      </c>
      <c r="P131" s="18">
        <f t="shared" ref="P131:P171" si="6">1+(C131+D131)*(10+E131*100)+B131</f>
        <v>2.3116583274</v>
      </c>
      <c r="Q131" s="21">
        <f t="shared" ref="Q131:Q171" si="7">(J131+K131)/128*10+L131/4*10+O131/4096*1+H131/128*10</f>
        <v>12.625</v>
      </c>
      <c r="R131" s="22">
        <f t="shared" ref="R131:R171" si="8">Q131*P131</f>
        <v>29.184686383424999</v>
      </c>
    </row>
    <row r="132" spans="1:18" x14ac:dyDescent="0.25">
      <c r="A132" t="s">
        <v>135</v>
      </c>
      <c r="B132">
        <v>1.1020840000000001</v>
      </c>
      <c r="C132">
        <v>3.2320000000000001E-3</v>
      </c>
      <c r="D132">
        <v>3.4E-5</v>
      </c>
      <c r="E132">
        <v>0.53511500000000001</v>
      </c>
      <c r="F132" s="8" t="s">
        <v>188</v>
      </c>
      <c r="G132" s="9" t="s">
        <v>194</v>
      </c>
      <c r="H132" s="9">
        <v>64</v>
      </c>
      <c r="I132" s="9">
        <v>1</v>
      </c>
      <c r="J132" s="9">
        <v>32</v>
      </c>
      <c r="K132" s="9">
        <v>32</v>
      </c>
      <c r="L132" s="9">
        <v>1</v>
      </c>
      <c r="M132" s="9">
        <v>1</v>
      </c>
      <c r="N132" s="9">
        <v>4</v>
      </c>
      <c r="O132" s="9">
        <v>512</v>
      </c>
      <c r="P132" s="18">
        <f t="shared" si="6"/>
        <v>2.3095125589999999</v>
      </c>
      <c r="Q132" s="21">
        <f t="shared" si="7"/>
        <v>12.625</v>
      </c>
      <c r="R132" s="22">
        <f t="shared" si="8"/>
        <v>29.157596057374999</v>
      </c>
    </row>
    <row r="133" spans="1:18" x14ac:dyDescent="0.25">
      <c r="A133" t="s">
        <v>136</v>
      </c>
      <c r="B133">
        <v>1.0997710000000001</v>
      </c>
      <c r="C133">
        <v>3.2309999999999999E-3</v>
      </c>
      <c r="D133">
        <v>3.4E-5</v>
      </c>
      <c r="E133">
        <v>0.49755899999999997</v>
      </c>
      <c r="F133" s="8" t="s">
        <v>188</v>
      </c>
      <c r="G133" s="9" t="s">
        <v>184</v>
      </c>
      <c r="H133" s="9">
        <v>64</v>
      </c>
      <c r="I133" s="9">
        <v>1</v>
      </c>
      <c r="J133" s="9">
        <v>32</v>
      </c>
      <c r="K133" s="9">
        <v>32</v>
      </c>
      <c r="L133" s="9">
        <v>1</v>
      </c>
      <c r="M133" s="9">
        <v>1</v>
      </c>
      <c r="N133" s="9">
        <v>2</v>
      </c>
      <c r="O133" s="9">
        <v>1024</v>
      </c>
      <c r="P133" s="18">
        <f t="shared" si="6"/>
        <v>2.2948740135000003</v>
      </c>
      <c r="Q133" s="21">
        <f t="shared" si="7"/>
        <v>12.75</v>
      </c>
      <c r="R133" s="22">
        <f t="shared" si="8"/>
        <v>29.259643672125005</v>
      </c>
    </row>
    <row r="134" spans="1:18" x14ac:dyDescent="0.25">
      <c r="A134" t="s">
        <v>137</v>
      </c>
      <c r="B134">
        <v>1.104293</v>
      </c>
      <c r="C134">
        <v>3.2320000000000001E-3</v>
      </c>
      <c r="D134">
        <v>3.4E-5</v>
      </c>
      <c r="E134">
        <v>0.57408000000000003</v>
      </c>
      <c r="F134" s="8" t="s">
        <v>188</v>
      </c>
      <c r="G134" s="9" t="s">
        <v>184</v>
      </c>
      <c r="H134" s="9">
        <v>64</v>
      </c>
      <c r="I134" s="9">
        <v>1</v>
      </c>
      <c r="J134" s="9">
        <v>32</v>
      </c>
      <c r="K134" s="9">
        <v>32</v>
      </c>
      <c r="L134" s="9">
        <v>1</v>
      </c>
      <c r="M134" s="9">
        <v>1</v>
      </c>
      <c r="N134" s="9">
        <v>2</v>
      </c>
      <c r="O134" s="9">
        <v>256</v>
      </c>
      <c r="P134" s="18">
        <f t="shared" si="6"/>
        <v>2.3244475280000003</v>
      </c>
      <c r="Q134" s="21">
        <f t="shared" si="7"/>
        <v>12.5625</v>
      </c>
      <c r="R134" s="22">
        <f t="shared" si="8"/>
        <v>29.200872070500004</v>
      </c>
    </row>
    <row r="135" spans="1:18" x14ac:dyDescent="0.25">
      <c r="A135" t="s">
        <v>138</v>
      </c>
      <c r="B135">
        <v>1.09768</v>
      </c>
      <c r="C135">
        <v>3.2309999999999999E-3</v>
      </c>
      <c r="D135">
        <v>3.4E-5</v>
      </c>
      <c r="E135">
        <v>0.46477600000000002</v>
      </c>
      <c r="F135" s="8" t="s">
        <v>188</v>
      </c>
      <c r="G135" s="9" t="s">
        <v>184</v>
      </c>
      <c r="H135" s="9">
        <v>64</v>
      </c>
      <c r="I135" s="9">
        <v>1</v>
      </c>
      <c r="J135" s="9">
        <v>32</v>
      </c>
      <c r="K135" s="9">
        <v>32</v>
      </c>
      <c r="L135" s="9">
        <v>1</v>
      </c>
      <c r="M135" s="9">
        <v>1</v>
      </c>
      <c r="N135" s="9">
        <v>2</v>
      </c>
      <c r="O135" s="9">
        <v>2048</v>
      </c>
      <c r="P135" s="18">
        <f t="shared" si="6"/>
        <v>2.2820793639999999</v>
      </c>
      <c r="Q135" s="21">
        <f t="shared" si="7"/>
        <v>13</v>
      </c>
      <c r="R135" s="22">
        <f t="shared" si="8"/>
        <v>29.667031731999998</v>
      </c>
    </row>
    <row r="136" spans="1:18" x14ac:dyDescent="0.25">
      <c r="A136" t="s">
        <v>139</v>
      </c>
      <c r="B136">
        <v>1.0975239999999999</v>
      </c>
      <c r="C136">
        <v>3.2309999999999999E-3</v>
      </c>
      <c r="D136">
        <v>3.4E-5</v>
      </c>
      <c r="E136">
        <v>0.46161200000000002</v>
      </c>
      <c r="F136" s="8" t="s">
        <v>188</v>
      </c>
      <c r="G136" s="9" t="s">
        <v>184</v>
      </c>
      <c r="H136" s="9">
        <v>64</v>
      </c>
      <c r="I136" s="9">
        <v>1</v>
      </c>
      <c r="J136" s="9">
        <v>32</v>
      </c>
      <c r="K136" s="9">
        <v>32</v>
      </c>
      <c r="L136" s="9">
        <v>1</v>
      </c>
      <c r="M136" s="9">
        <v>1</v>
      </c>
      <c r="N136" s="9">
        <v>2</v>
      </c>
      <c r="O136" s="9">
        <v>4096</v>
      </c>
      <c r="P136" s="18">
        <f t="shared" si="6"/>
        <v>2.280890318</v>
      </c>
      <c r="Q136" s="21">
        <f t="shared" si="7"/>
        <v>13.5</v>
      </c>
      <c r="R136" s="22">
        <f t="shared" si="8"/>
        <v>30.792019292999999</v>
      </c>
    </row>
    <row r="137" spans="1:18" ht="15.75" thickBot="1" x14ac:dyDescent="0.3">
      <c r="A137" t="s">
        <v>140</v>
      </c>
      <c r="B137">
        <v>1.1022460000000001</v>
      </c>
      <c r="C137">
        <v>3.2320000000000001E-3</v>
      </c>
      <c r="D137">
        <v>3.4E-5</v>
      </c>
      <c r="E137">
        <v>0.54118900000000003</v>
      </c>
      <c r="F137" s="10" t="s">
        <v>188</v>
      </c>
      <c r="G137" s="11" t="s">
        <v>184</v>
      </c>
      <c r="H137" s="11">
        <v>64</v>
      </c>
      <c r="I137" s="11">
        <v>1</v>
      </c>
      <c r="J137" s="11">
        <v>32</v>
      </c>
      <c r="K137" s="11">
        <v>32</v>
      </c>
      <c r="L137" s="11">
        <v>1</v>
      </c>
      <c r="M137" s="11">
        <v>1</v>
      </c>
      <c r="N137" s="11">
        <v>2</v>
      </c>
      <c r="O137" s="11">
        <v>512</v>
      </c>
      <c r="P137" s="19">
        <f t="shared" si="6"/>
        <v>2.3116583274</v>
      </c>
      <c r="Q137" s="21">
        <f t="shared" si="7"/>
        <v>12.625</v>
      </c>
      <c r="R137" s="24">
        <f t="shared" si="8"/>
        <v>29.184686383424999</v>
      </c>
    </row>
    <row r="138" spans="1:18" x14ac:dyDescent="0.25">
      <c r="A138" t="s">
        <v>141</v>
      </c>
      <c r="B138">
        <v>1.243045</v>
      </c>
      <c r="C138">
        <v>5.8240000000000002E-3</v>
      </c>
      <c r="D138">
        <v>1.18E-4</v>
      </c>
      <c r="E138">
        <v>1.3793E-2</v>
      </c>
      <c r="F138" s="6" t="s">
        <v>189</v>
      </c>
      <c r="G138" s="7" t="s">
        <v>190</v>
      </c>
      <c r="H138" s="7">
        <v>128</v>
      </c>
      <c r="I138" s="7">
        <v>1</v>
      </c>
      <c r="J138" s="7">
        <v>32</v>
      </c>
      <c r="K138" s="7">
        <v>32</v>
      </c>
      <c r="L138" s="7">
        <v>1</v>
      </c>
      <c r="M138" s="7">
        <v>1</v>
      </c>
      <c r="N138" s="7">
        <v>2</v>
      </c>
      <c r="O138" s="7">
        <v>512</v>
      </c>
      <c r="P138" s="20">
        <f t="shared" si="6"/>
        <v>2.3106608006</v>
      </c>
      <c r="Q138" s="21">
        <f t="shared" si="7"/>
        <v>17.625</v>
      </c>
      <c r="R138" s="25">
        <f t="shared" si="8"/>
        <v>40.725396610574997</v>
      </c>
    </row>
    <row r="139" spans="1:18" x14ac:dyDescent="0.25">
      <c r="A139" t="s">
        <v>142</v>
      </c>
      <c r="B139">
        <v>1.2253179999999999</v>
      </c>
      <c r="C139">
        <v>6.5799999999999999E-3</v>
      </c>
      <c r="D139">
        <v>1.76E-4</v>
      </c>
      <c r="E139">
        <v>3.9736E-2</v>
      </c>
      <c r="F139" s="8" t="s">
        <v>189</v>
      </c>
      <c r="G139" s="9" t="s">
        <v>190</v>
      </c>
      <c r="H139" s="9">
        <v>32</v>
      </c>
      <c r="I139" s="9">
        <v>1</v>
      </c>
      <c r="J139" s="9">
        <v>32</v>
      </c>
      <c r="K139" s="9">
        <v>32</v>
      </c>
      <c r="L139" s="9">
        <v>1</v>
      </c>
      <c r="M139" s="9">
        <v>1</v>
      </c>
      <c r="N139" s="9">
        <v>2</v>
      </c>
      <c r="O139" s="9">
        <v>512</v>
      </c>
      <c r="P139" s="18">
        <f t="shared" si="6"/>
        <v>2.3197236416</v>
      </c>
      <c r="Q139" s="21">
        <f t="shared" si="7"/>
        <v>10.125</v>
      </c>
      <c r="R139" s="22">
        <f t="shared" si="8"/>
        <v>23.4872018712</v>
      </c>
    </row>
    <row r="140" spans="1:18" x14ac:dyDescent="0.25">
      <c r="A140" t="s">
        <v>143</v>
      </c>
      <c r="B140">
        <v>1.2323850000000001</v>
      </c>
      <c r="C140">
        <v>5.777E-3</v>
      </c>
      <c r="D140">
        <v>1.36E-4</v>
      </c>
      <c r="E140">
        <v>2.4802999999999999E-2</v>
      </c>
      <c r="F140" s="8" t="s">
        <v>189</v>
      </c>
      <c r="G140" s="9" t="s">
        <v>190</v>
      </c>
      <c r="H140" s="9">
        <v>64</v>
      </c>
      <c r="I140" s="9">
        <v>1</v>
      </c>
      <c r="J140" s="9">
        <v>32</v>
      </c>
      <c r="K140" s="9">
        <v>32</v>
      </c>
      <c r="L140" s="9">
        <v>1</v>
      </c>
      <c r="M140" s="9">
        <v>1</v>
      </c>
      <c r="N140" s="9">
        <v>2</v>
      </c>
      <c r="O140" s="9">
        <v>512</v>
      </c>
      <c r="P140" s="18">
        <f t="shared" si="6"/>
        <v>2.3061810138999999</v>
      </c>
      <c r="Q140" s="21">
        <f t="shared" si="7"/>
        <v>12.625</v>
      </c>
      <c r="R140" s="22">
        <f t="shared" si="8"/>
        <v>29.115535300487497</v>
      </c>
    </row>
    <row r="141" spans="1:18" x14ac:dyDescent="0.25">
      <c r="A141" t="s">
        <v>144</v>
      </c>
      <c r="B141">
        <v>1.2323850000000001</v>
      </c>
      <c r="C141">
        <v>5.777E-3</v>
      </c>
      <c r="D141">
        <v>1.36E-4</v>
      </c>
      <c r="E141">
        <v>2.4802999999999999E-2</v>
      </c>
      <c r="F141" s="8" t="s">
        <v>189</v>
      </c>
      <c r="G141" s="9" t="s">
        <v>195</v>
      </c>
      <c r="H141" s="9">
        <v>64</v>
      </c>
      <c r="I141" s="9">
        <v>1</v>
      </c>
      <c r="J141" s="9">
        <v>32</v>
      </c>
      <c r="K141" s="9">
        <v>32</v>
      </c>
      <c r="L141" s="9">
        <v>1</v>
      </c>
      <c r="M141" s="9">
        <v>1</v>
      </c>
      <c r="N141" s="9">
        <v>2</v>
      </c>
      <c r="O141" s="9">
        <v>512</v>
      </c>
      <c r="P141" s="18">
        <f t="shared" si="6"/>
        <v>2.3061810138999999</v>
      </c>
      <c r="Q141" s="21">
        <f t="shared" si="7"/>
        <v>12.625</v>
      </c>
      <c r="R141" s="22">
        <f t="shared" si="8"/>
        <v>29.115535300487497</v>
      </c>
    </row>
    <row r="142" spans="1:18" x14ac:dyDescent="0.25">
      <c r="A142" t="s">
        <v>145</v>
      </c>
      <c r="B142">
        <v>1.188863</v>
      </c>
      <c r="C142">
        <v>1.493E-3</v>
      </c>
      <c r="D142">
        <v>1.2300000000000001E-4</v>
      </c>
      <c r="E142">
        <v>9.3507000000000007E-2</v>
      </c>
      <c r="F142" s="8" t="s">
        <v>189</v>
      </c>
      <c r="G142" s="9" t="s">
        <v>191</v>
      </c>
      <c r="H142" s="9">
        <v>64</v>
      </c>
      <c r="I142" s="9">
        <v>1</v>
      </c>
      <c r="J142" s="9">
        <v>128</v>
      </c>
      <c r="K142" s="9">
        <v>128</v>
      </c>
      <c r="L142" s="9">
        <v>1</v>
      </c>
      <c r="M142" s="9">
        <v>1</v>
      </c>
      <c r="N142" s="9">
        <v>2</v>
      </c>
      <c r="O142" s="9">
        <v>512</v>
      </c>
      <c r="P142" s="18">
        <f t="shared" si="6"/>
        <v>2.2201337311999998</v>
      </c>
      <c r="Q142" s="21">
        <f t="shared" si="7"/>
        <v>27.625</v>
      </c>
      <c r="R142" s="22">
        <f t="shared" si="8"/>
        <v>61.331194324399995</v>
      </c>
    </row>
    <row r="143" spans="1:18" x14ac:dyDescent="0.25">
      <c r="A143" t="s">
        <v>146</v>
      </c>
      <c r="B143">
        <v>1.1918550000000001</v>
      </c>
      <c r="C143">
        <v>1.493E-3</v>
      </c>
      <c r="D143">
        <v>1.1839999999999999E-3</v>
      </c>
      <c r="E143">
        <v>7.5246999999999994E-2</v>
      </c>
      <c r="F143" s="8" t="s">
        <v>189</v>
      </c>
      <c r="G143" s="9" t="s">
        <v>191</v>
      </c>
      <c r="H143" s="9">
        <v>64</v>
      </c>
      <c r="I143" s="9">
        <v>1</v>
      </c>
      <c r="J143" s="9">
        <v>128</v>
      </c>
      <c r="K143" s="9">
        <v>16</v>
      </c>
      <c r="L143" s="9">
        <v>1</v>
      </c>
      <c r="M143" s="9">
        <v>1</v>
      </c>
      <c r="N143" s="9">
        <v>2</v>
      </c>
      <c r="O143" s="9">
        <v>512</v>
      </c>
      <c r="P143" s="18">
        <f t="shared" si="6"/>
        <v>2.2387686219000003</v>
      </c>
      <c r="Q143" s="21">
        <f t="shared" si="7"/>
        <v>18.875</v>
      </c>
      <c r="R143" s="22">
        <f t="shared" si="8"/>
        <v>42.256757738362502</v>
      </c>
    </row>
    <row r="144" spans="1:18" x14ac:dyDescent="0.25">
      <c r="A144" t="s">
        <v>147</v>
      </c>
      <c r="B144">
        <v>1.190126</v>
      </c>
      <c r="C144">
        <v>1.493E-3</v>
      </c>
      <c r="D144">
        <v>6.2399999999999999E-4</v>
      </c>
      <c r="E144">
        <v>8.2375000000000004E-2</v>
      </c>
      <c r="F144" s="8" t="s">
        <v>189</v>
      </c>
      <c r="G144" s="9" t="s">
        <v>191</v>
      </c>
      <c r="H144" s="9">
        <v>64</v>
      </c>
      <c r="I144" s="9">
        <v>1</v>
      </c>
      <c r="J144" s="9">
        <v>128</v>
      </c>
      <c r="K144" s="9">
        <v>32</v>
      </c>
      <c r="L144" s="9">
        <v>1</v>
      </c>
      <c r="M144" s="9">
        <v>1</v>
      </c>
      <c r="N144" s="9">
        <v>2</v>
      </c>
      <c r="O144" s="9">
        <v>512</v>
      </c>
      <c r="P144" s="18">
        <f t="shared" si="6"/>
        <v>2.2287347875000001</v>
      </c>
      <c r="Q144" s="21">
        <f t="shared" si="7"/>
        <v>20.125</v>
      </c>
      <c r="R144" s="22">
        <f t="shared" si="8"/>
        <v>44.853287598437504</v>
      </c>
    </row>
    <row r="145" spans="1:18" x14ac:dyDescent="0.25">
      <c r="A145" t="s">
        <v>148</v>
      </c>
      <c r="B145">
        <v>1.188898</v>
      </c>
      <c r="C145">
        <v>1.493E-3</v>
      </c>
      <c r="D145">
        <v>1.35E-4</v>
      </c>
      <c r="E145">
        <v>9.3235999999999999E-2</v>
      </c>
      <c r="F145" s="8" t="s">
        <v>189</v>
      </c>
      <c r="G145" s="9" t="s">
        <v>191</v>
      </c>
      <c r="H145" s="9">
        <v>64</v>
      </c>
      <c r="I145" s="9">
        <v>1</v>
      </c>
      <c r="J145" s="9">
        <v>128</v>
      </c>
      <c r="K145" s="9">
        <v>64</v>
      </c>
      <c r="L145" s="9">
        <v>1</v>
      </c>
      <c r="M145" s="9">
        <v>1</v>
      </c>
      <c r="N145" s="9">
        <v>2</v>
      </c>
      <c r="O145" s="9">
        <v>512</v>
      </c>
      <c r="P145" s="18">
        <f t="shared" si="6"/>
        <v>2.2203568208000002</v>
      </c>
      <c r="Q145" s="21">
        <f t="shared" si="7"/>
        <v>22.625</v>
      </c>
      <c r="R145" s="22">
        <f t="shared" si="8"/>
        <v>50.235573070600005</v>
      </c>
    </row>
    <row r="146" spans="1:18" x14ac:dyDescent="0.25">
      <c r="A146" t="s">
        <v>149</v>
      </c>
      <c r="B146">
        <v>1.2590699999999999</v>
      </c>
      <c r="C146">
        <v>8.3320000000000009E-3</v>
      </c>
      <c r="D146">
        <v>1.2300000000000001E-4</v>
      </c>
      <c r="E146">
        <v>1.7301E-2</v>
      </c>
      <c r="F146" s="8" t="s">
        <v>189</v>
      </c>
      <c r="G146" s="9" t="s">
        <v>191</v>
      </c>
      <c r="H146" s="9">
        <v>64</v>
      </c>
      <c r="I146" s="9">
        <v>1</v>
      </c>
      <c r="J146" s="9">
        <v>16</v>
      </c>
      <c r="K146" s="9">
        <v>128</v>
      </c>
      <c r="L146" s="9">
        <v>1</v>
      </c>
      <c r="M146" s="9">
        <v>1</v>
      </c>
      <c r="N146" s="9">
        <v>2</v>
      </c>
      <c r="O146" s="9">
        <v>512</v>
      </c>
      <c r="P146" s="18">
        <f t="shared" si="6"/>
        <v>2.3582479955000002</v>
      </c>
      <c r="Q146" s="21">
        <f t="shared" si="7"/>
        <v>18.875</v>
      </c>
      <c r="R146" s="22">
        <f t="shared" si="8"/>
        <v>44.511930915062507</v>
      </c>
    </row>
    <row r="147" spans="1:18" x14ac:dyDescent="0.25">
      <c r="A147" t="s">
        <v>150</v>
      </c>
      <c r="B147">
        <v>1.2614399999999999</v>
      </c>
      <c r="C147">
        <v>8.3309999999999999E-3</v>
      </c>
      <c r="D147">
        <v>1.1980000000000001E-3</v>
      </c>
      <c r="E147">
        <v>1.7738E-2</v>
      </c>
      <c r="F147" s="8" t="s">
        <v>189</v>
      </c>
      <c r="G147" s="9" t="s">
        <v>191</v>
      </c>
      <c r="H147" s="9">
        <v>64</v>
      </c>
      <c r="I147" s="9">
        <v>1</v>
      </c>
      <c r="J147" s="9">
        <v>16</v>
      </c>
      <c r="K147" s="9">
        <v>16</v>
      </c>
      <c r="L147" s="9">
        <v>1</v>
      </c>
      <c r="M147" s="9">
        <v>1</v>
      </c>
      <c r="N147" s="9">
        <v>2</v>
      </c>
      <c r="O147" s="9">
        <v>512</v>
      </c>
      <c r="P147" s="18">
        <f t="shared" si="6"/>
        <v>2.3736325402</v>
      </c>
      <c r="Q147" s="21">
        <f t="shared" si="7"/>
        <v>10.125</v>
      </c>
      <c r="R147" s="22">
        <f t="shared" si="8"/>
        <v>24.033029469525001</v>
      </c>
    </row>
    <row r="148" spans="1:18" x14ac:dyDescent="0.25">
      <c r="A148" t="s">
        <v>151</v>
      </c>
      <c r="B148">
        <v>1.2598339999999999</v>
      </c>
      <c r="C148">
        <v>8.3320000000000009E-3</v>
      </c>
      <c r="D148">
        <v>6.2699999999999995E-4</v>
      </c>
      <c r="E148">
        <v>1.6906999999999998E-2</v>
      </c>
      <c r="F148" s="8" t="s">
        <v>189</v>
      </c>
      <c r="G148" s="9" t="s">
        <v>191</v>
      </c>
      <c r="H148" s="9">
        <v>64</v>
      </c>
      <c r="I148" s="9">
        <v>1</v>
      </c>
      <c r="J148" s="9">
        <v>16</v>
      </c>
      <c r="K148" s="9">
        <v>32</v>
      </c>
      <c r="L148" s="9">
        <v>1</v>
      </c>
      <c r="M148" s="9">
        <v>1</v>
      </c>
      <c r="N148" s="9">
        <v>2</v>
      </c>
      <c r="O148" s="9">
        <v>512</v>
      </c>
      <c r="P148" s="18">
        <f t="shared" si="6"/>
        <v>2.3645709813</v>
      </c>
      <c r="Q148" s="21">
        <f t="shared" si="7"/>
        <v>11.375</v>
      </c>
      <c r="R148" s="22">
        <f t="shared" si="8"/>
        <v>26.8969949122875</v>
      </c>
    </row>
    <row r="149" spans="1:18" x14ac:dyDescent="0.25">
      <c r="A149" t="s">
        <v>152</v>
      </c>
      <c r="B149">
        <v>1.259123</v>
      </c>
      <c r="C149">
        <v>8.3320000000000009E-3</v>
      </c>
      <c r="D149">
        <v>1.36E-4</v>
      </c>
      <c r="E149">
        <v>1.7308E-2</v>
      </c>
      <c r="F149" s="8" t="s">
        <v>189</v>
      </c>
      <c r="G149" s="9" t="s">
        <v>191</v>
      </c>
      <c r="H149" s="9">
        <v>64</v>
      </c>
      <c r="I149" s="9">
        <v>1</v>
      </c>
      <c r="J149" s="9">
        <v>16</v>
      </c>
      <c r="K149" s="9">
        <v>64</v>
      </c>
      <c r="L149" s="9">
        <v>1</v>
      </c>
      <c r="M149" s="9">
        <v>1</v>
      </c>
      <c r="N149" s="9">
        <v>2</v>
      </c>
      <c r="O149" s="9">
        <v>512</v>
      </c>
      <c r="P149" s="18">
        <f t="shared" si="6"/>
        <v>2.3584594144</v>
      </c>
      <c r="Q149" s="21">
        <f t="shared" si="7"/>
        <v>13.875</v>
      </c>
      <c r="R149" s="22">
        <f t="shared" si="8"/>
        <v>32.723624374799996</v>
      </c>
    </row>
    <row r="150" spans="1:18" x14ac:dyDescent="0.25">
      <c r="A150" t="s">
        <v>153</v>
      </c>
      <c r="B150">
        <v>1.232337</v>
      </c>
      <c r="C150">
        <v>5.777E-3</v>
      </c>
      <c r="D150">
        <v>1.2300000000000001E-4</v>
      </c>
      <c r="E150">
        <v>2.4805000000000001E-2</v>
      </c>
      <c r="F150" s="8" t="s">
        <v>189</v>
      </c>
      <c r="G150" s="9" t="s">
        <v>191</v>
      </c>
      <c r="H150" s="9">
        <v>64</v>
      </c>
      <c r="I150" s="9">
        <v>1</v>
      </c>
      <c r="J150" s="9">
        <v>32</v>
      </c>
      <c r="K150" s="9">
        <v>128</v>
      </c>
      <c r="L150" s="9">
        <v>1</v>
      </c>
      <c r="M150" s="9">
        <v>1</v>
      </c>
      <c r="N150" s="9">
        <v>2</v>
      </c>
      <c r="O150" s="9">
        <v>512</v>
      </c>
      <c r="P150" s="18">
        <f t="shared" si="6"/>
        <v>2.30597195</v>
      </c>
      <c r="Q150" s="21">
        <f t="shared" si="7"/>
        <v>20.125</v>
      </c>
      <c r="R150" s="22">
        <f t="shared" si="8"/>
        <v>46.407685493750002</v>
      </c>
    </row>
    <row r="151" spans="1:18" x14ac:dyDescent="0.25">
      <c r="A151" t="s">
        <v>154</v>
      </c>
      <c r="B151">
        <v>1.234974</v>
      </c>
      <c r="C151">
        <v>5.777E-3</v>
      </c>
      <c r="D151">
        <v>1.194E-3</v>
      </c>
      <c r="E151">
        <v>2.4719000000000001E-2</v>
      </c>
      <c r="F151" s="8" t="s">
        <v>189</v>
      </c>
      <c r="G151" s="9" t="s">
        <v>191</v>
      </c>
      <c r="H151" s="9">
        <v>64</v>
      </c>
      <c r="I151" s="9">
        <v>1</v>
      </c>
      <c r="J151" s="9">
        <v>32</v>
      </c>
      <c r="K151" s="9">
        <v>16</v>
      </c>
      <c r="L151" s="9">
        <v>1</v>
      </c>
      <c r="M151" s="9">
        <v>1</v>
      </c>
      <c r="N151" s="9">
        <v>2</v>
      </c>
      <c r="O151" s="9">
        <v>512</v>
      </c>
      <c r="P151" s="18">
        <f t="shared" si="6"/>
        <v>2.3219156149</v>
      </c>
      <c r="Q151" s="21">
        <f t="shared" si="7"/>
        <v>11.375</v>
      </c>
      <c r="R151" s="22">
        <f t="shared" si="8"/>
        <v>26.411790119487499</v>
      </c>
    </row>
    <row r="152" spans="1:18" x14ac:dyDescent="0.25">
      <c r="A152" t="s">
        <v>155</v>
      </c>
      <c r="B152">
        <v>1.2333259999999999</v>
      </c>
      <c r="C152">
        <v>5.777E-3</v>
      </c>
      <c r="D152">
        <v>6.2600000000000004E-4</v>
      </c>
      <c r="E152">
        <v>2.3956999999999999E-2</v>
      </c>
      <c r="F152" s="8" t="s">
        <v>189</v>
      </c>
      <c r="G152" s="9" t="s">
        <v>191</v>
      </c>
      <c r="H152" s="9">
        <v>64</v>
      </c>
      <c r="I152" s="9">
        <v>1</v>
      </c>
      <c r="J152" s="9">
        <v>32</v>
      </c>
      <c r="K152" s="9">
        <v>32</v>
      </c>
      <c r="L152" s="9">
        <v>1</v>
      </c>
      <c r="M152" s="9">
        <v>1</v>
      </c>
      <c r="N152" s="9">
        <v>2</v>
      </c>
      <c r="O152" s="9">
        <v>512</v>
      </c>
      <c r="P152" s="18">
        <f t="shared" si="6"/>
        <v>2.3126956670999999</v>
      </c>
      <c r="Q152" s="21">
        <f t="shared" si="7"/>
        <v>12.625</v>
      </c>
      <c r="R152" s="22">
        <f t="shared" si="8"/>
        <v>29.197782797137499</v>
      </c>
    </row>
    <row r="153" spans="1:18" x14ac:dyDescent="0.25">
      <c r="A153" t="s">
        <v>156</v>
      </c>
      <c r="B153">
        <v>1.2323850000000001</v>
      </c>
      <c r="C153">
        <v>5.777E-3</v>
      </c>
      <c r="D153">
        <v>1.36E-4</v>
      </c>
      <c r="E153">
        <v>2.4802999999999999E-2</v>
      </c>
      <c r="F153" s="8" t="s">
        <v>189</v>
      </c>
      <c r="G153" s="9" t="s">
        <v>191</v>
      </c>
      <c r="H153" s="9">
        <v>64</v>
      </c>
      <c r="I153" s="9">
        <v>1</v>
      </c>
      <c r="J153" s="9">
        <v>32</v>
      </c>
      <c r="K153" s="9">
        <v>64</v>
      </c>
      <c r="L153" s="9">
        <v>1</v>
      </c>
      <c r="M153" s="9">
        <v>1</v>
      </c>
      <c r="N153" s="9">
        <v>2</v>
      </c>
      <c r="O153" s="9">
        <v>512</v>
      </c>
      <c r="P153" s="18">
        <f t="shared" si="6"/>
        <v>2.3061810138999999</v>
      </c>
      <c r="Q153" s="21">
        <f t="shared" si="7"/>
        <v>15.125</v>
      </c>
      <c r="R153" s="22">
        <f t="shared" si="8"/>
        <v>34.880987835237498</v>
      </c>
    </row>
    <row r="154" spans="1:18" x14ac:dyDescent="0.25">
      <c r="A154" t="s">
        <v>157</v>
      </c>
      <c r="B154">
        <v>1.20848</v>
      </c>
      <c r="C154">
        <v>3.4680000000000002E-3</v>
      </c>
      <c r="D154">
        <v>1.2300000000000001E-4</v>
      </c>
      <c r="E154">
        <v>4.1189999999999997E-2</v>
      </c>
      <c r="F154" s="8" t="s">
        <v>189</v>
      </c>
      <c r="G154" s="9" t="s">
        <v>191</v>
      </c>
      <c r="H154" s="9">
        <v>64</v>
      </c>
      <c r="I154" s="9">
        <v>1</v>
      </c>
      <c r="J154" s="9">
        <v>64</v>
      </c>
      <c r="K154" s="9">
        <v>128</v>
      </c>
      <c r="L154" s="9">
        <v>1</v>
      </c>
      <c r="M154" s="9">
        <v>1</v>
      </c>
      <c r="N154" s="9">
        <v>2</v>
      </c>
      <c r="O154" s="9">
        <v>512</v>
      </c>
      <c r="P154" s="18">
        <f t="shared" si="6"/>
        <v>2.259181329</v>
      </c>
      <c r="Q154" s="21">
        <f t="shared" si="7"/>
        <v>22.625</v>
      </c>
      <c r="R154" s="22">
        <f t="shared" si="8"/>
        <v>51.113977568625003</v>
      </c>
    </row>
    <row r="155" spans="1:18" x14ac:dyDescent="0.25">
      <c r="A155" t="s">
        <v>158</v>
      </c>
      <c r="B155">
        <v>1.2114720000000001</v>
      </c>
      <c r="C155">
        <v>3.4680000000000002E-3</v>
      </c>
      <c r="D155">
        <v>1.188E-3</v>
      </c>
      <c r="E155">
        <v>3.9240999999999998E-2</v>
      </c>
      <c r="F155" s="8" t="s">
        <v>189</v>
      </c>
      <c r="G155" s="9" t="s">
        <v>191</v>
      </c>
      <c r="H155" s="9">
        <v>64</v>
      </c>
      <c r="I155" s="9">
        <v>1</v>
      </c>
      <c r="J155" s="9">
        <v>64</v>
      </c>
      <c r="K155" s="9">
        <v>16</v>
      </c>
      <c r="L155" s="9">
        <v>1</v>
      </c>
      <c r="M155" s="9">
        <v>1</v>
      </c>
      <c r="N155" s="9">
        <v>2</v>
      </c>
      <c r="O155" s="9">
        <v>512</v>
      </c>
      <c r="P155" s="18">
        <f t="shared" si="6"/>
        <v>2.2763026096000001</v>
      </c>
      <c r="Q155" s="21">
        <f t="shared" si="7"/>
        <v>13.875</v>
      </c>
      <c r="R155" s="22">
        <f t="shared" si="8"/>
        <v>31.5836987082</v>
      </c>
    </row>
    <row r="156" spans="1:18" x14ac:dyDescent="0.25">
      <c r="A156" t="s">
        <v>159</v>
      </c>
      <c r="B156">
        <v>1.209716</v>
      </c>
      <c r="C156">
        <v>3.4680000000000002E-3</v>
      </c>
      <c r="D156">
        <v>6.2399999999999999E-4</v>
      </c>
      <c r="E156">
        <v>3.8890000000000001E-2</v>
      </c>
      <c r="F156" s="8" t="s">
        <v>189</v>
      </c>
      <c r="G156" s="9" t="s">
        <v>191</v>
      </c>
      <c r="H156" s="9">
        <v>64</v>
      </c>
      <c r="I156" s="9">
        <v>1</v>
      </c>
      <c r="J156" s="9">
        <v>64</v>
      </c>
      <c r="K156" s="9">
        <v>32</v>
      </c>
      <c r="L156" s="9">
        <v>1</v>
      </c>
      <c r="M156" s="9">
        <v>1</v>
      </c>
      <c r="N156" s="9">
        <v>2</v>
      </c>
      <c r="O156" s="9">
        <v>512</v>
      </c>
      <c r="P156" s="18">
        <f t="shared" si="6"/>
        <v>2.2665497879999998</v>
      </c>
      <c r="Q156" s="21">
        <f t="shared" si="7"/>
        <v>15.125</v>
      </c>
      <c r="R156" s="22">
        <f t="shared" si="8"/>
        <v>34.281565543500001</v>
      </c>
    </row>
    <row r="157" spans="1:18" x14ac:dyDescent="0.25">
      <c r="A157" t="s">
        <v>160</v>
      </c>
      <c r="B157">
        <v>1.2085399999999999</v>
      </c>
      <c r="C157">
        <v>3.4680000000000002E-3</v>
      </c>
      <c r="D157">
        <v>1.35E-4</v>
      </c>
      <c r="E157">
        <v>4.1162999999999998E-2</v>
      </c>
      <c r="F157" s="8" t="s">
        <v>189</v>
      </c>
      <c r="G157" s="9" t="s">
        <v>191</v>
      </c>
      <c r="H157" s="9">
        <v>64</v>
      </c>
      <c r="I157" s="9">
        <v>1</v>
      </c>
      <c r="J157" s="9">
        <v>64</v>
      </c>
      <c r="K157" s="9">
        <v>64</v>
      </c>
      <c r="L157" s="9">
        <v>1</v>
      </c>
      <c r="M157" s="9">
        <v>1</v>
      </c>
      <c r="N157" s="9">
        <v>2</v>
      </c>
      <c r="O157" s="9">
        <v>512</v>
      </c>
      <c r="P157" s="18">
        <f t="shared" si="6"/>
        <v>2.2594010289000002</v>
      </c>
      <c r="Q157" s="21">
        <f t="shared" si="7"/>
        <v>17.625</v>
      </c>
      <c r="R157" s="22">
        <f t="shared" si="8"/>
        <v>39.821943134362506</v>
      </c>
    </row>
    <row r="158" spans="1:18" x14ac:dyDescent="0.25">
      <c r="A158" t="s">
        <v>161</v>
      </c>
      <c r="B158">
        <v>1.2323850000000001</v>
      </c>
      <c r="C158">
        <v>5.777E-3</v>
      </c>
      <c r="D158">
        <v>1.36E-4</v>
      </c>
      <c r="E158">
        <v>2.4802999999999999E-2</v>
      </c>
      <c r="F158" s="8" t="s">
        <v>189</v>
      </c>
      <c r="G158" s="9" t="s">
        <v>192</v>
      </c>
      <c r="H158" s="9">
        <v>64</v>
      </c>
      <c r="I158" s="9">
        <v>1</v>
      </c>
      <c r="J158" s="9">
        <v>32</v>
      </c>
      <c r="K158" s="9">
        <v>32</v>
      </c>
      <c r="L158" s="9">
        <v>1</v>
      </c>
      <c r="M158" s="9">
        <v>1</v>
      </c>
      <c r="N158" s="9">
        <v>2</v>
      </c>
      <c r="O158" s="9">
        <v>512</v>
      </c>
      <c r="P158" s="18">
        <f t="shared" si="6"/>
        <v>2.3061810138999999</v>
      </c>
      <c r="Q158" s="21">
        <f t="shared" si="7"/>
        <v>12.625</v>
      </c>
      <c r="R158" s="22">
        <f t="shared" si="8"/>
        <v>29.115535300487497</v>
      </c>
    </row>
    <row r="159" spans="1:18" x14ac:dyDescent="0.25">
      <c r="A159" t="s">
        <v>162</v>
      </c>
      <c r="B159">
        <v>1.1879999999999999</v>
      </c>
      <c r="C159">
        <v>2.3679999999999999E-3</v>
      </c>
      <c r="D159">
        <v>1.36E-4</v>
      </c>
      <c r="E159">
        <v>5.9326999999999998E-2</v>
      </c>
      <c r="F159" s="8" t="s">
        <v>189</v>
      </c>
      <c r="G159" s="9" t="s">
        <v>192</v>
      </c>
      <c r="H159" s="9">
        <v>64</v>
      </c>
      <c r="I159" s="9">
        <v>1</v>
      </c>
      <c r="J159" s="9">
        <v>32</v>
      </c>
      <c r="K159" s="9">
        <v>32</v>
      </c>
      <c r="L159" s="9">
        <v>2</v>
      </c>
      <c r="M159" s="9">
        <v>1</v>
      </c>
      <c r="N159" s="9">
        <v>2</v>
      </c>
      <c r="O159" s="9">
        <v>512</v>
      </c>
      <c r="P159" s="18">
        <f t="shared" si="6"/>
        <v>2.2278954808</v>
      </c>
      <c r="Q159" s="21">
        <f t="shared" si="7"/>
        <v>15.125</v>
      </c>
      <c r="R159" s="22">
        <f t="shared" si="8"/>
        <v>33.696919147099997</v>
      </c>
    </row>
    <row r="160" spans="1:18" x14ac:dyDescent="0.25">
      <c r="A160" t="s">
        <v>163</v>
      </c>
      <c r="B160">
        <v>1.185092</v>
      </c>
      <c r="C160">
        <v>2.029E-3</v>
      </c>
      <c r="D160">
        <v>1.35E-4</v>
      </c>
      <c r="E160">
        <v>6.8987999999999994E-2</v>
      </c>
      <c r="F160" s="8" t="s">
        <v>189</v>
      </c>
      <c r="G160" s="9" t="s">
        <v>192</v>
      </c>
      <c r="H160" s="9">
        <v>64</v>
      </c>
      <c r="I160" s="9">
        <v>1</v>
      </c>
      <c r="J160" s="9">
        <v>32</v>
      </c>
      <c r="K160" s="9">
        <v>32</v>
      </c>
      <c r="L160" s="9">
        <v>4</v>
      </c>
      <c r="M160" s="9">
        <v>1</v>
      </c>
      <c r="N160" s="9">
        <v>2</v>
      </c>
      <c r="O160" s="9">
        <v>512</v>
      </c>
      <c r="P160" s="18">
        <f t="shared" si="6"/>
        <v>2.2216610031999999</v>
      </c>
      <c r="Q160" s="21">
        <f t="shared" si="7"/>
        <v>20.125</v>
      </c>
      <c r="R160" s="22">
        <f t="shared" si="8"/>
        <v>44.710927689400002</v>
      </c>
    </row>
    <row r="161" spans="1:18" x14ac:dyDescent="0.25">
      <c r="A161" t="s">
        <v>164</v>
      </c>
      <c r="B161">
        <v>1.2323850000000001</v>
      </c>
      <c r="C161">
        <v>5.777E-3</v>
      </c>
      <c r="D161">
        <v>1.36E-4</v>
      </c>
      <c r="E161">
        <v>2.4802999999999999E-2</v>
      </c>
      <c r="F161" s="8" t="s">
        <v>189</v>
      </c>
      <c r="G161" s="9" t="s">
        <v>193</v>
      </c>
      <c r="H161" s="9">
        <v>64</v>
      </c>
      <c r="I161" s="9">
        <v>1</v>
      </c>
      <c r="J161" s="9">
        <v>32</v>
      </c>
      <c r="K161" s="9">
        <v>32</v>
      </c>
      <c r="L161" s="9">
        <v>1</v>
      </c>
      <c r="M161" s="9">
        <v>1</v>
      </c>
      <c r="N161" s="9">
        <v>2</v>
      </c>
      <c r="O161" s="9">
        <v>512</v>
      </c>
      <c r="P161" s="18">
        <f t="shared" si="6"/>
        <v>2.3061810138999999</v>
      </c>
      <c r="Q161" s="21">
        <f t="shared" si="7"/>
        <v>12.625</v>
      </c>
      <c r="R161" s="22">
        <f t="shared" si="8"/>
        <v>29.115535300487497</v>
      </c>
    </row>
    <row r="162" spans="1:18" x14ac:dyDescent="0.25">
      <c r="A162" t="s">
        <v>165</v>
      </c>
      <c r="B162">
        <v>1.232289</v>
      </c>
      <c r="C162">
        <v>5.777E-3</v>
      </c>
      <c r="D162">
        <v>1.02E-4</v>
      </c>
      <c r="E162">
        <v>2.4715999999999998E-2</v>
      </c>
      <c r="F162" s="8" t="s">
        <v>189</v>
      </c>
      <c r="G162" s="9" t="s">
        <v>193</v>
      </c>
      <c r="H162" s="9">
        <v>64</v>
      </c>
      <c r="I162" s="9">
        <v>1</v>
      </c>
      <c r="J162" s="9">
        <v>32</v>
      </c>
      <c r="K162" s="9">
        <v>32</v>
      </c>
      <c r="L162" s="9">
        <v>1</v>
      </c>
      <c r="M162" s="9">
        <v>2</v>
      </c>
      <c r="N162" s="9">
        <v>2</v>
      </c>
      <c r="O162" s="9">
        <v>512</v>
      </c>
      <c r="P162" s="18">
        <f t="shared" si="6"/>
        <v>2.3056095364</v>
      </c>
      <c r="Q162" s="21">
        <f t="shared" si="7"/>
        <v>12.625</v>
      </c>
      <c r="R162" s="22">
        <f t="shared" si="8"/>
        <v>29.108320397050001</v>
      </c>
    </row>
    <row r="163" spans="1:18" x14ac:dyDescent="0.25">
      <c r="A163" t="s">
        <v>166</v>
      </c>
      <c r="B163">
        <v>1.2322610000000001</v>
      </c>
      <c r="C163">
        <v>5.777E-3</v>
      </c>
      <c r="D163">
        <v>8.2000000000000001E-5</v>
      </c>
      <c r="E163">
        <v>2.4750999999999999E-2</v>
      </c>
      <c r="F163" s="8" t="s">
        <v>189</v>
      </c>
      <c r="G163" s="9" t="s">
        <v>193</v>
      </c>
      <c r="H163" s="9">
        <v>64</v>
      </c>
      <c r="I163" s="9">
        <v>1</v>
      </c>
      <c r="J163" s="9">
        <v>32</v>
      </c>
      <c r="K163" s="9">
        <v>32</v>
      </c>
      <c r="L163" s="9">
        <v>1</v>
      </c>
      <c r="M163" s="9">
        <v>4</v>
      </c>
      <c r="N163" s="9">
        <v>2</v>
      </c>
      <c r="O163" s="9">
        <v>512</v>
      </c>
      <c r="P163" s="18">
        <f t="shared" si="6"/>
        <v>2.3053526109</v>
      </c>
      <c r="Q163" s="21">
        <f t="shared" si="7"/>
        <v>12.625</v>
      </c>
      <c r="R163" s="22">
        <f t="shared" si="8"/>
        <v>29.105076712612501</v>
      </c>
    </row>
    <row r="164" spans="1:18" x14ac:dyDescent="0.25">
      <c r="A164" t="s">
        <v>167</v>
      </c>
      <c r="B164">
        <v>1.2327090000000001</v>
      </c>
      <c r="C164">
        <v>5.7800000000000004E-3</v>
      </c>
      <c r="D164">
        <v>1.36E-4</v>
      </c>
      <c r="E164">
        <v>2.6973E-2</v>
      </c>
      <c r="F164" s="8" t="s">
        <v>189</v>
      </c>
      <c r="G164" s="9" t="s">
        <v>194</v>
      </c>
      <c r="H164" s="9">
        <v>64</v>
      </c>
      <c r="I164" s="9">
        <v>1</v>
      </c>
      <c r="J164" s="9">
        <v>32</v>
      </c>
      <c r="K164" s="9">
        <v>32</v>
      </c>
      <c r="L164" s="9">
        <v>1</v>
      </c>
      <c r="M164" s="9">
        <v>1</v>
      </c>
      <c r="N164" s="9">
        <v>1</v>
      </c>
      <c r="O164" s="9">
        <v>512</v>
      </c>
      <c r="P164" s="18">
        <f t="shared" si="6"/>
        <v>2.3078262268</v>
      </c>
      <c r="Q164" s="21">
        <f t="shared" si="7"/>
        <v>12.625</v>
      </c>
      <c r="R164" s="22">
        <f t="shared" si="8"/>
        <v>29.136306113349999</v>
      </c>
    </row>
    <row r="165" spans="1:18" x14ac:dyDescent="0.25">
      <c r="A165" t="s">
        <v>168</v>
      </c>
      <c r="B165">
        <v>1.2323850000000001</v>
      </c>
      <c r="C165">
        <v>5.777E-3</v>
      </c>
      <c r="D165">
        <v>1.36E-4</v>
      </c>
      <c r="E165">
        <v>2.4802999999999999E-2</v>
      </c>
      <c r="F165" s="8" t="s">
        <v>189</v>
      </c>
      <c r="G165" s="9" t="s">
        <v>194</v>
      </c>
      <c r="H165" s="9">
        <v>64</v>
      </c>
      <c r="I165" s="9">
        <v>1</v>
      </c>
      <c r="J165" s="9">
        <v>32</v>
      </c>
      <c r="K165" s="9">
        <v>32</v>
      </c>
      <c r="L165" s="9">
        <v>1</v>
      </c>
      <c r="M165" s="9">
        <v>1</v>
      </c>
      <c r="N165" s="9">
        <v>2</v>
      </c>
      <c r="O165" s="9">
        <v>512</v>
      </c>
      <c r="P165" s="18">
        <f t="shared" si="6"/>
        <v>2.3061810138999999</v>
      </c>
      <c r="Q165" s="21">
        <f t="shared" si="7"/>
        <v>12.625</v>
      </c>
      <c r="R165" s="22">
        <f t="shared" si="8"/>
        <v>29.115535300487497</v>
      </c>
    </row>
    <row r="166" spans="1:18" x14ac:dyDescent="0.25">
      <c r="A166" t="s">
        <v>169</v>
      </c>
      <c r="B166">
        <v>1.232297</v>
      </c>
      <c r="C166">
        <v>5.777E-3</v>
      </c>
      <c r="D166">
        <v>1.36E-4</v>
      </c>
      <c r="E166">
        <v>2.4254000000000001E-2</v>
      </c>
      <c r="F166" s="8" t="s">
        <v>189</v>
      </c>
      <c r="G166" s="9" t="s">
        <v>194</v>
      </c>
      <c r="H166" s="9">
        <v>64</v>
      </c>
      <c r="I166" s="9">
        <v>1</v>
      </c>
      <c r="J166" s="9">
        <v>32</v>
      </c>
      <c r="K166" s="9">
        <v>32</v>
      </c>
      <c r="L166" s="9">
        <v>1</v>
      </c>
      <c r="M166" s="9">
        <v>1</v>
      </c>
      <c r="N166" s="9">
        <v>4</v>
      </c>
      <c r="O166" s="9">
        <v>512</v>
      </c>
      <c r="P166" s="18">
        <f t="shared" si="6"/>
        <v>2.3057683901999999</v>
      </c>
      <c r="Q166" s="21">
        <f t="shared" si="7"/>
        <v>12.625</v>
      </c>
      <c r="R166" s="22">
        <f t="shared" si="8"/>
        <v>29.110325926274999</v>
      </c>
    </row>
    <row r="167" spans="1:18" x14ac:dyDescent="0.25">
      <c r="A167" t="s">
        <v>170</v>
      </c>
      <c r="B167">
        <v>1.2322789999999999</v>
      </c>
      <c r="C167">
        <v>5.777E-3</v>
      </c>
      <c r="D167">
        <v>1.36E-4</v>
      </c>
      <c r="E167">
        <v>2.4129000000000001E-2</v>
      </c>
      <c r="F167" s="8" t="s">
        <v>189</v>
      </c>
      <c r="G167" s="9" t="s">
        <v>184</v>
      </c>
      <c r="H167" s="9">
        <v>64</v>
      </c>
      <c r="I167" s="9">
        <v>1</v>
      </c>
      <c r="J167" s="9">
        <v>32</v>
      </c>
      <c r="K167" s="9">
        <v>32</v>
      </c>
      <c r="L167" s="9">
        <v>1</v>
      </c>
      <c r="M167" s="9">
        <v>1</v>
      </c>
      <c r="N167" s="9">
        <v>2</v>
      </c>
      <c r="O167" s="9">
        <v>1024</v>
      </c>
      <c r="P167" s="18">
        <f t="shared" si="6"/>
        <v>2.3056764776999996</v>
      </c>
      <c r="Q167" s="21">
        <f t="shared" si="7"/>
        <v>12.75</v>
      </c>
      <c r="R167" s="22">
        <f t="shared" si="8"/>
        <v>29.397375090674995</v>
      </c>
    </row>
    <row r="168" spans="1:18" x14ac:dyDescent="0.25">
      <c r="A168" t="s">
        <v>171</v>
      </c>
      <c r="B168">
        <v>1.233336</v>
      </c>
      <c r="C168">
        <v>5.7809999999999997E-3</v>
      </c>
      <c r="D168">
        <v>1.36E-4</v>
      </c>
      <c r="E168">
        <v>3.0449E-2</v>
      </c>
      <c r="F168" s="8" t="s">
        <v>189</v>
      </c>
      <c r="G168" s="9" t="s">
        <v>184</v>
      </c>
      <c r="H168" s="9">
        <v>64</v>
      </c>
      <c r="I168" s="9">
        <v>1</v>
      </c>
      <c r="J168" s="9">
        <v>32</v>
      </c>
      <c r="K168" s="9">
        <v>32</v>
      </c>
      <c r="L168" s="9">
        <v>1</v>
      </c>
      <c r="M168" s="9">
        <v>1</v>
      </c>
      <c r="N168" s="9">
        <v>2</v>
      </c>
      <c r="O168" s="9">
        <v>256</v>
      </c>
      <c r="P168" s="18">
        <f t="shared" si="6"/>
        <v>2.3105226732999999</v>
      </c>
      <c r="Q168" s="21">
        <f t="shared" si="7"/>
        <v>12.5625</v>
      </c>
      <c r="R168" s="22">
        <f t="shared" si="8"/>
        <v>29.025941083331251</v>
      </c>
    </row>
    <row r="169" spans="1:18" x14ac:dyDescent="0.25">
      <c r="A169" t="s">
        <v>172</v>
      </c>
      <c r="B169">
        <v>1.2322789999999999</v>
      </c>
      <c r="C169">
        <v>5.777E-3</v>
      </c>
      <c r="D169">
        <v>1.36E-4</v>
      </c>
      <c r="E169">
        <v>2.4129000000000001E-2</v>
      </c>
      <c r="F169" s="8" t="s">
        <v>189</v>
      </c>
      <c r="G169" s="9" t="s">
        <v>184</v>
      </c>
      <c r="H169" s="9">
        <v>64</v>
      </c>
      <c r="I169" s="9">
        <v>1</v>
      </c>
      <c r="J169" s="9">
        <v>32</v>
      </c>
      <c r="K169" s="9">
        <v>32</v>
      </c>
      <c r="L169" s="9">
        <v>1</v>
      </c>
      <c r="M169" s="9">
        <v>1</v>
      </c>
      <c r="N169" s="9">
        <v>2</v>
      </c>
      <c r="O169" s="9">
        <v>2048</v>
      </c>
      <c r="P169" s="18">
        <f t="shared" si="6"/>
        <v>2.3056764776999996</v>
      </c>
      <c r="Q169" s="21">
        <f t="shared" si="7"/>
        <v>13</v>
      </c>
      <c r="R169" s="22">
        <f t="shared" si="8"/>
        <v>29.973794210099996</v>
      </c>
    </row>
    <row r="170" spans="1:18" x14ac:dyDescent="0.25">
      <c r="A170" t="s">
        <v>173</v>
      </c>
      <c r="B170">
        <v>1.2322789999999999</v>
      </c>
      <c r="C170">
        <v>5.777E-3</v>
      </c>
      <c r="D170">
        <v>1.36E-4</v>
      </c>
      <c r="E170">
        <v>2.4129000000000001E-2</v>
      </c>
      <c r="F170" s="8" t="s">
        <v>189</v>
      </c>
      <c r="G170" s="9" t="s">
        <v>184</v>
      </c>
      <c r="H170" s="9">
        <v>64</v>
      </c>
      <c r="I170" s="9">
        <v>1</v>
      </c>
      <c r="J170" s="9">
        <v>32</v>
      </c>
      <c r="K170" s="9">
        <v>32</v>
      </c>
      <c r="L170" s="9">
        <v>1</v>
      </c>
      <c r="M170" s="9">
        <v>1</v>
      </c>
      <c r="N170" s="9">
        <v>2</v>
      </c>
      <c r="O170" s="9">
        <v>4096</v>
      </c>
      <c r="P170" s="18">
        <f t="shared" si="6"/>
        <v>2.3056764776999996</v>
      </c>
      <c r="Q170" s="21">
        <f t="shared" si="7"/>
        <v>13.5</v>
      </c>
      <c r="R170" s="22">
        <f t="shared" si="8"/>
        <v>31.126632448949994</v>
      </c>
    </row>
    <row r="171" spans="1:18" ht="15.75" thickBot="1" x14ac:dyDescent="0.3">
      <c r="A171" t="s">
        <v>174</v>
      </c>
      <c r="B171">
        <v>1.2323850000000001</v>
      </c>
      <c r="C171">
        <v>5.777E-3</v>
      </c>
      <c r="D171">
        <v>1.36E-4</v>
      </c>
      <c r="E171">
        <v>2.4802999999999999E-2</v>
      </c>
      <c r="F171" s="10" t="s">
        <v>189</v>
      </c>
      <c r="G171" s="11" t="s">
        <v>184</v>
      </c>
      <c r="H171" s="11">
        <v>64</v>
      </c>
      <c r="I171" s="11">
        <v>1</v>
      </c>
      <c r="J171" s="11">
        <v>32</v>
      </c>
      <c r="K171" s="11">
        <v>32</v>
      </c>
      <c r="L171" s="11">
        <v>1</v>
      </c>
      <c r="M171" s="11">
        <v>1</v>
      </c>
      <c r="N171" s="11">
        <v>2</v>
      </c>
      <c r="O171" s="11">
        <v>512</v>
      </c>
      <c r="P171" s="19">
        <f t="shared" si="6"/>
        <v>2.3061810138999999</v>
      </c>
      <c r="Q171" s="21">
        <f t="shared" si="7"/>
        <v>12.625</v>
      </c>
      <c r="R171" s="24">
        <f t="shared" si="8"/>
        <v>29.115535300487497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FA24F-C9E3-4766-9FF2-9AE3163FFAB4}">
  <sheetPr codeName="shData2"/>
  <dimension ref="A1:Y171"/>
  <sheetViews>
    <sheetView workbookViewId="0">
      <selection activeCell="P36" sqref="P36:P69"/>
    </sheetView>
  </sheetViews>
  <sheetFormatPr defaultRowHeight="15" x14ac:dyDescent="0.25"/>
  <cols>
    <col min="1" max="1" width="23.140625" customWidth="1"/>
    <col min="2" max="2" width="18.28515625" bestFit="1" customWidth="1"/>
    <col min="3" max="3" width="20.7109375" bestFit="1" customWidth="1"/>
    <col min="4" max="4" width="13.42578125" bestFit="1" customWidth="1"/>
    <col min="5" max="5" width="11.28515625" bestFit="1" customWidth="1"/>
    <col min="7" max="7" width="13.85546875" customWidth="1"/>
    <col min="8" max="8" width="10.140625" bestFit="1" customWidth="1"/>
    <col min="9" max="9" width="15.85546875" bestFit="1" customWidth="1"/>
    <col min="10" max="11" width="15.42578125" bestFit="1" customWidth="1"/>
    <col min="12" max="14" width="12.7109375" bestFit="1" customWidth="1"/>
    <col min="15" max="15" width="10.85546875" bestFit="1" customWidth="1"/>
    <col min="16" max="16" width="11.85546875" customWidth="1"/>
    <col min="17" max="17" width="11.5703125" bestFit="1" customWidth="1"/>
    <col min="18" max="18" width="8" bestFit="1" customWidth="1"/>
    <col min="19" max="19" width="11.42578125" bestFit="1" customWidth="1"/>
    <col min="24" max="24" width="12" style="27" customWidth="1"/>
    <col min="25" max="25" width="19" style="27" bestFit="1" customWidth="1"/>
  </cols>
  <sheetData>
    <row r="1" spans="1:25" ht="15.75" thickBot="1" x14ac:dyDescent="0.3">
      <c r="A1" s="1" t="s">
        <v>0</v>
      </c>
      <c r="B1" s="1" t="s">
        <v>240</v>
      </c>
      <c r="C1" s="1" t="s">
        <v>241</v>
      </c>
      <c r="D1" s="1" t="s">
        <v>238</v>
      </c>
      <c r="E1" s="1" t="s">
        <v>237</v>
      </c>
      <c r="F1" s="1" t="s">
        <v>175</v>
      </c>
      <c r="G1" s="1" t="s">
        <v>176</v>
      </c>
      <c r="H1" s="1" t="s">
        <v>177</v>
      </c>
      <c r="I1" s="1" t="s">
        <v>178</v>
      </c>
      <c r="J1" s="1" t="s">
        <v>179</v>
      </c>
      <c r="K1" s="1" t="s">
        <v>180</v>
      </c>
      <c r="L1" s="1" t="s">
        <v>181</v>
      </c>
      <c r="M1" s="1" t="s">
        <v>182</v>
      </c>
      <c r="N1" s="1" t="s">
        <v>183</v>
      </c>
      <c r="O1" s="1" t="s">
        <v>196</v>
      </c>
      <c r="P1" s="1" t="s">
        <v>242</v>
      </c>
      <c r="Q1" s="1" t="s">
        <v>243</v>
      </c>
      <c r="R1" s="37" t="s">
        <v>248</v>
      </c>
      <c r="S1" s="37" t="s">
        <v>247</v>
      </c>
      <c r="X1" s="27" t="s">
        <v>175</v>
      </c>
      <c r="Y1" s="27" t="s">
        <v>239</v>
      </c>
    </row>
    <row r="2" spans="1:25" x14ac:dyDescent="0.25">
      <c r="A2" s="28" t="str">
        <f>"./" &amp; X2 &amp; "/" &amp; TRIM(Y2)</f>
        <v>./specbzip/l2_size.256kB</v>
      </c>
      <c r="B2" s="29">
        <v>1.1464399999999999</v>
      </c>
      <c r="C2" s="29">
        <v>0.12597800000000001</v>
      </c>
      <c r="D2" s="29">
        <v>0.178282</v>
      </c>
      <c r="E2" s="29">
        <v>226.84922599999999</v>
      </c>
      <c r="F2" s="29" t="s">
        <v>185</v>
      </c>
      <c r="G2" s="29" t="s">
        <v>184</v>
      </c>
      <c r="H2" s="29">
        <v>64</v>
      </c>
      <c r="I2" s="29">
        <v>1</v>
      </c>
      <c r="J2" s="29">
        <v>32</v>
      </c>
      <c r="K2" s="29">
        <v>32</v>
      </c>
      <c r="L2" s="29">
        <v>1</v>
      </c>
      <c r="M2" s="29">
        <v>1</v>
      </c>
      <c r="N2" s="29">
        <v>2</v>
      </c>
      <c r="O2" s="29">
        <v>256</v>
      </c>
      <c r="P2" s="30">
        <f>1/E2*1000</f>
        <v>4.4082142911962157</v>
      </c>
      <c r="Q2">
        <f>B2+C2</f>
        <v>1.2724179999999998</v>
      </c>
      <c r="R2">
        <v>10.182499999999999</v>
      </c>
      <c r="S2">
        <v>3.7515200000000002</v>
      </c>
      <c r="X2" s="27" t="s">
        <v>185</v>
      </c>
      <c r="Y2" s="27" t="s">
        <v>203</v>
      </c>
    </row>
    <row r="3" spans="1:25" x14ac:dyDescent="0.25">
      <c r="A3" s="31" t="str">
        <f t="shared" ref="A3:A35" si="0">"./" &amp; X3 &amp; "/" &amp; TRIM(Y3)</f>
        <v>./specbzip/l2d_assoc.4</v>
      </c>
      <c r="B3" s="32">
        <v>1.14703</v>
      </c>
      <c r="C3" s="32">
        <v>0.12836600000000001</v>
      </c>
      <c r="D3" s="32">
        <v>0.17261599999999999</v>
      </c>
      <c r="E3" s="32">
        <v>220.15375599999999</v>
      </c>
      <c r="F3" s="32" t="s">
        <v>185</v>
      </c>
      <c r="G3" s="32" t="s">
        <v>194</v>
      </c>
      <c r="H3" s="32">
        <v>64</v>
      </c>
      <c r="I3" s="32">
        <v>1</v>
      </c>
      <c r="J3" s="32">
        <v>32</v>
      </c>
      <c r="K3" s="32">
        <v>32</v>
      </c>
      <c r="L3" s="32">
        <v>1</v>
      </c>
      <c r="M3" s="32">
        <v>1</v>
      </c>
      <c r="N3" s="32">
        <v>4</v>
      </c>
      <c r="O3" s="32">
        <v>512</v>
      </c>
      <c r="P3" s="33">
        <f t="shared" ref="P3:P66" si="1">1/E3*1000</f>
        <v>4.5422799872649007</v>
      </c>
      <c r="Q3">
        <f t="shared" ref="Q3:Q66" si="2">B3+C3</f>
        <v>1.275396</v>
      </c>
      <c r="R3">
        <v>10.7264</v>
      </c>
      <c r="S3">
        <v>3.7822800000000001</v>
      </c>
      <c r="X3" s="27" t="s">
        <v>185</v>
      </c>
      <c r="Y3" s="27" t="s">
        <v>204</v>
      </c>
    </row>
    <row r="4" spans="1:25" x14ac:dyDescent="0.25">
      <c r="A4" s="31" t="str">
        <f t="shared" si="0"/>
        <v>./specbzip/l1i_assoc.2</v>
      </c>
      <c r="B4" s="32">
        <v>1.14927</v>
      </c>
      <c r="C4" s="32">
        <v>0.128418</v>
      </c>
      <c r="D4" s="32">
        <v>0.17277000000000001</v>
      </c>
      <c r="E4" s="32">
        <v>220.74615600000001</v>
      </c>
      <c r="F4" s="32" t="s">
        <v>185</v>
      </c>
      <c r="G4" s="32" t="s">
        <v>193</v>
      </c>
      <c r="H4" s="32">
        <v>64</v>
      </c>
      <c r="I4" s="32">
        <v>1</v>
      </c>
      <c r="J4" s="32">
        <v>32</v>
      </c>
      <c r="K4" s="32">
        <v>32</v>
      </c>
      <c r="L4" s="32">
        <v>1</v>
      </c>
      <c r="M4" s="32">
        <v>2</v>
      </c>
      <c r="N4" s="32">
        <v>2</v>
      </c>
      <c r="O4" s="32">
        <v>512</v>
      </c>
      <c r="P4" s="33">
        <f t="shared" si="1"/>
        <v>4.5300902091359632</v>
      </c>
      <c r="Q4">
        <f t="shared" si="2"/>
        <v>1.2776879999999999</v>
      </c>
      <c r="R4">
        <v>10.7638</v>
      </c>
      <c r="S4">
        <v>3.7873899999999998</v>
      </c>
      <c r="X4" s="27" t="s">
        <v>185</v>
      </c>
      <c r="Y4" s="27" t="s">
        <v>205</v>
      </c>
    </row>
    <row r="5" spans="1:25" x14ac:dyDescent="0.25">
      <c r="A5" s="31" t="str">
        <f t="shared" si="0"/>
        <v>./specbzip/l1d.64kB_l1i.128kB</v>
      </c>
      <c r="B5" s="32">
        <v>1.83192</v>
      </c>
      <c r="C5" s="32">
        <v>0.34282499999999999</v>
      </c>
      <c r="D5" s="32">
        <v>0.16936899999999999</v>
      </c>
      <c r="E5" s="32">
        <v>368.33438599999999</v>
      </c>
      <c r="F5" s="32" t="s">
        <v>185</v>
      </c>
      <c r="G5" s="32" t="s">
        <v>191</v>
      </c>
      <c r="H5" s="32">
        <v>64</v>
      </c>
      <c r="I5" s="32">
        <v>1</v>
      </c>
      <c r="J5" s="32">
        <v>64</v>
      </c>
      <c r="K5" s="32">
        <v>128</v>
      </c>
      <c r="L5" s="32">
        <v>1</v>
      </c>
      <c r="M5" s="32">
        <v>1</v>
      </c>
      <c r="N5" s="32">
        <v>2</v>
      </c>
      <c r="O5" s="32">
        <v>512</v>
      </c>
      <c r="P5" s="33">
        <f t="shared" si="1"/>
        <v>2.714924367664115</v>
      </c>
      <c r="Q5">
        <f t="shared" si="2"/>
        <v>2.1747450000000002</v>
      </c>
      <c r="R5">
        <v>15.683999999999999</v>
      </c>
      <c r="S5">
        <v>5.2115</v>
      </c>
      <c r="X5" s="27" t="s">
        <v>185</v>
      </c>
      <c r="Y5" s="27" t="s">
        <v>206</v>
      </c>
    </row>
    <row r="6" spans="1:25" x14ac:dyDescent="0.25">
      <c r="A6" s="31" t="str">
        <f t="shared" si="0"/>
        <v>./specbzip/l1d.16kB_l1i.32kB</v>
      </c>
      <c r="B6" s="32">
        <v>0.73653299999999999</v>
      </c>
      <c r="C6" s="32">
        <v>0.125972</v>
      </c>
      <c r="D6" s="32">
        <v>0.17736099999999999</v>
      </c>
      <c r="E6" s="32">
        <v>152.974749</v>
      </c>
      <c r="F6" s="32" t="s">
        <v>185</v>
      </c>
      <c r="G6" s="32" t="s">
        <v>191</v>
      </c>
      <c r="H6" s="32">
        <v>64</v>
      </c>
      <c r="I6" s="32">
        <v>1</v>
      </c>
      <c r="J6" s="32">
        <v>16</v>
      </c>
      <c r="K6" s="32">
        <v>32</v>
      </c>
      <c r="L6" s="32">
        <v>1</v>
      </c>
      <c r="M6" s="32">
        <v>1</v>
      </c>
      <c r="N6" s="32">
        <v>2</v>
      </c>
      <c r="O6" s="32">
        <v>512</v>
      </c>
      <c r="P6" s="33">
        <f t="shared" si="1"/>
        <v>6.53702657815768</v>
      </c>
      <c r="Q6">
        <f t="shared" si="2"/>
        <v>0.86250499999999997</v>
      </c>
      <c r="R6">
        <v>8.2864199999999997</v>
      </c>
      <c r="S6">
        <v>2.7385999999999999</v>
      </c>
      <c r="X6" s="27" t="s">
        <v>185</v>
      </c>
      <c r="Y6" s="27" t="s">
        <v>207</v>
      </c>
    </row>
    <row r="7" spans="1:25" x14ac:dyDescent="0.25">
      <c r="A7" s="31" t="str">
        <f t="shared" si="0"/>
        <v>./specbzip/cpu_clock.1GHz</v>
      </c>
      <c r="B7" s="32">
        <v>1.14703</v>
      </c>
      <c r="C7" s="32">
        <v>0.128417</v>
      </c>
      <c r="D7" s="32">
        <v>0.17277500000000001</v>
      </c>
      <c r="E7" s="32">
        <v>220.36535499999999</v>
      </c>
      <c r="F7" s="32" t="s">
        <v>185</v>
      </c>
      <c r="G7" s="32" t="s">
        <v>195</v>
      </c>
      <c r="H7" s="32">
        <v>64</v>
      </c>
      <c r="I7" s="32">
        <v>1</v>
      </c>
      <c r="J7" s="32">
        <v>32</v>
      </c>
      <c r="K7" s="32">
        <v>32</v>
      </c>
      <c r="L7" s="32">
        <v>1</v>
      </c>
      <c r="M7" s="32">
        <v>1</v>
      </c>
      <c r="N7" s="32">
        <v>2</v>
      </c>
      <c r="O7" s="32">
        <v>512</v>
      </c>
      <c r="P7" s="33">
        <f t="shared" si="1"/>
        <v>4.5379184037345617</v>
      </c>
      <c r="Q7">
        <f t="shared" si="2"/>
        <v>1.275447</v>
      </c>
      <c r="R7">
        <v>10.7277</v>
      </c>
      <c r="S7">
        <v>3.7820100000000001</v>
      </c>
      <c r="X7" s="27" t="s">
        <v>185</v>
      </c>
      <c r="Y7" s="27" t="s">
        <v>208</v>
      </c>
    </row>
    <row r="8" spans="1:25" x14ac:dyDescent="0.25">
      <c r="A8" s="31" t="str">
        <f t="shared" si="0"/>
        <v>./specbzip/l1d.32kB_l1i.64kB</v>
      </c>
      <c r="B8" s="32">
        <v>1.14703</v>
      </c>
      <c r="C8" s="32">
        <v>0.128417</v>
      </c>
      <c r="D8" s="32">
        <v>0.17277500000000001</v>
      </c>
      <c r="E8" s="32">
        <v>220.36535499999999</v>
      </c>
      <c r="F8" s="32" t="s">
        <v>185</v>
      </c>
      <c r="G8" s="32" t="s">
        <v>191</v>
      </c>
      <c r="H8" s="32">
        <v>64</v>
      </c>
      <c r="I8" s="32">
        <v>1</v>
      </c>
      <c r="J8" s="32">
        <v>32</v>
      </c>
      <c r="K8" s="32">
        <v>64</v>
      </c>
      <c r="L8" s="32">
        <v>1</v>
      </c>
      <c r="M8" s="32">
        <v>1</v>
      </c>
      <c r="N8" s="32">
        <v>2</v>
      </c>
      <c r="O8" s="32">
        <v>512</v>
      </c>
      <c r="P8" s="33">
        <f t="shared" si="1"/>
        <v>4.5379184037345617</v>
      </c>
      <c r="Q8">
        <f t="shared" si="2"/>
        <v>1.275447</v>
      </c>
      <c r="R8">
        <v>10.7277</v>
      </c>
      <c r="S8">
        <v>3.7820100000000001</v>
      </c>
      <c r="X8" s="27" t="s">
        <v>185</v>
      </c>
      <c r="Y8" s="27" t="s">
        <v>209</v>
      </c>
    </row>
    <row r="9" spans="1:25" x14ac:dyDescent="0.25">
      <c r="A9" s="31" t="str">
        <f t="shared" si="0"/>
        <v>./specbzip/l2d_assoc.1</v>
      </c>
      <c r="B9" s="32">
        <v>1.1470199999999999</v>
      </c>
      <c r="C9" s="32">
        <v>0.12809899999999999</v>
      </c>
      <c r="D9" s="32">
        <v>0.17450299999999999</v>
      </c>
      <c r="E9" s="32">
        <v>222.512091</v>
      </c>
      <c r="F9" s="32" t="s">
        <v>185</v>
      </c>
      <c r="G9" s="32" t="s">
        <v>194</v>
      </c>
      <c r="H9" s="32">
        <v>64</v>
      </c>
      <c r="I9" s="32">
        <v>1</v>
      </c>
      <c r="J9" s="32">
        <v>32</v>
      </c>
      <c r="K9" s="32">
        <v>32</v>
      </c>
      <c r="L9" s="32">
        <v>1</v>
      </c>
      <c r="M9" s="32">
        <v>1</v>
      </c>
      <c r="N9" s="32">
        <v>1</v>
      </c>
      <c r="O9" s="32">
        <v>512</v>
      </c>
      <c r="P9" s="33">
        <f t="shared" si="1"/>
        <v>4.4941378039542128</v>
      </c>
      <c r="Q9">
        <f t="shared" si="2"/>
        <v>1.2751189999999999</v>
      </c>
      <c r="R9">
        <v>10.7286</v>
      </c>
      <c r="S9">
        <v>3.7819699999999998</v>
      </c>
      <c r="X9" s="27" t="s">
        <v>185</v>
      </c>
      <c r="Y9" s="27" t="s">
        <v>210</v>
      </c>
    </row>
    <row r="10" spans="1:25" x14ac:dyDescent="0.25">
      <c r="A10" s="31" t="str">
        <f t="shared" si="0"/>
        <v>./specbzip/l1i_assoc.1</v>
      </c>
      <c r="B10" s="32">
        <v>1.14703</v>
      </c>
      <c r="C10" s="32">
        <v>0.128417</v>
      </c>
      <c r="D10" s="32">
        <v>0.17277500000000001</v>
      </c>
      <c r="E10" s="32">
        <v>220.36535499999999</v>
      </c>
      <c r="F10" s="32" t="s">
        <v>185</v>
      </c>
      <c r="G10" s="32" t="s">
        <v>193</v>
      </c>
      <c r="H10" s="32">
        <v>64</v>
      </c>
      <c r="I10" s="32">
        <v>1</v>
      </c>
      <c r="J10" s="32">
        <v>32</v>
      </c>
      <c r="K10" s="32">
        <v>32</v>
      </c>
      <c r="L10" s="32">
        <v>1</v>
      </c>
      <c r="M10" s="32">
        <v>1</v>
      </c>
      <c r="N10" s="32">
        <v>2</v>
      </c>
      <c r="O10" s="32">
        <v>512</v>
      </c>
      <c r="P10" s="33">
        <f t="shared" si="1"/>
        <v>4.5379184037345617</v>
      </c>
      <c r="Q10">
        <f t="shared" si="2"/>
        <v>1.275447</v>
      </c>
      <c r="R10">
        <v>10.7277</v>
      </c>
      <c r="S10">
        <v>3.7820100000000001</v>
      </c>
      <c r="X10" s="27" t="s">
        <v>185</v>
      </c>
      <c r="Y10" s="27" t="s">
        <v>211</v>
      </c>
    </row>
    <row r="11" spans="1:25" x14ac:dyDescent="0.25">
      <c r="A11" s="31" t="str">
        <f t="shared" si="0"/>
        <v>./specbzip/l1d.32kB_l1i.32kB</v>
      </c>
      <c r="B11" s="32">
        <v>0.74404700000000001</v>
      </c>
      <c r="C11" s="32">
        <v>0.128413</v>
      </c>
      <c r="D11" s="32">
        <v>0.17277699999999999</v>
      </c>
      <c r="E11" s="32">
        <v>150.74102099999999</v>
      </c>
      <c r="F11" s="32" t="s">
        <v>185</v>
      </c>
      <c r="G11" s="32" t="s">
        <v>191</v>
      </c>
      <c r="H11" s="32">
        <v>64</v>
      </c>
      <c r="I11" s="32">
        <v>1</v>
      </c>
      <c r="J11" s="32">
        <v>32</v>
      </c>
      <c r="K11" s="32">
        <v>32</v>
      </c>
      <c r="L11" s="32">
        <v>1</v>
      </c>
      <c r="M11" s="32">
        <v>1</v>
      </c>
      <c r="N11" s="32">
        <v>2</v>
      </c>
      <c r="O11" s="32">
        <v>512</v>
      </c>
      <c r="P11" s="33">
        <f t="shared" si="1"/>
        <v>6.6338943000790751</v>
      </c>
      <c r="Q11">
        <f t="shared" si="2"/>
        <v>0.87246000000000001</v>
      </c>
      <c r="R11">
        <v>8.3388000000000009</v>
      </c>
      <c r="S11">
        <v>2.7579199999999999</v>
      </c>
      <c r="X11" s="27" t="s">
        <v>185</v>
      </c>
      <c r="Y11" s="27" t="s">
        <v>212</v>
      </c>
    </row>
    <row r="12" spans="1:25" x14ac:dyDescent="0.25">
      <c r="A12" s="31" t="str">
        <f t="shared" si="0"/>
        <v>./specbzip/l1i_assoc.4</v>
      </c>
      <c r="B12" s="32">
        <v>0.87417199999999995</v>
      </c>
      <c r="C12" s="32">
        <v>0.128412</v>
      </c>
      <c r="D12" s="32">
        <v>0.17277899999999999</v>
      </c>
      <c r="E12" s="32">
        <v>173.225461</v>
      </c>
      <c r="F12" s="32" t="s">
        <v>185</v>
      </c>
      <c r="G12" s="32" t="s">
        <v>193</v>
      </c>
      <c r="H12" s="32">
        <v>64</v>
      </c>
      <c r="I12" s="32">
        <v>1</v>
      </c>
      <c r="J12" s="32">
        <v>32</v>
      </c>
      <c r="K12" s="32">
        <v>32</v>
      </c>
      <c r="L12" s="32">
        <v>1</v>
      </c>
      <c r="M12" s="32">
        <v>4</v>
      </c>
      <c r="N12" s="32">
        <v>2</v>
      </c>
      <c r="O12" s="32">
        <v>512</v>
      </c>
      <c r="P12" s="33">
        <f t="shared" si="1"/>
        <v>5.7728234303847517</v>
      </c>
      <c r="Q12">
        <f t="shared" si="2"/>
        <v>1.0025839999999999</v>
      </c>
      <c r="R12">
        <v>9.7305700000000002</v>
      </c>
      <c r="S12">
        <v>3.4842</v>
      </c>
      <c r="X12" s="27" t="s">
        <v>185</v>
      </c>
      <c r="Y12" s="27" t="s">
        <v>213</v>
      </c>
    </row>
    <row r="13" spans="1:25" x14ac:dyDescent="0.25">
      <c r="A13" s="31" t="str">
        <f t="shared" si="0"/>
        <v>./specbzip/l1d.128kB_l1i.16kB</v>
      </c>
      <c r="B13" s="32">
        <v>1.4214199999999999</v>
      </c>
      <c r="C13" s="32">
        <v>0.43801600000000002</v>
      </c>
      <c r="D13" s="32">
        <v>0.16573599999999999</v>
      </c>
      <c r="E13" s="32">
        <v>308.17548499999998</v>
      </c>
      <c r="F13" s="32" t="s">
        <v>185</v>
      </c>
      <c r="G13" s="32" t="s">
        <v>191</v>
      </c>
      <c r="H13" s="32">
        <v>64</v>
      </c>
      <c r="I13" s="32">
        <v>1</v>
      </c>
      <c r="J13" s="32">
        <v>128</v>
      </c>
      <c r="K13" s="32">
        <v>16</v>
      </c>
      <c r="L13" s="32">
        <v>1</v>
      </c>
      <c r="M13" s="32">
        <v>1</v>
      </c>
      <c r="N13" s="32">
        <v>2</v>
      </c>
      <c r="O13" s="32">
        <v>512</v>
      </c>
      <c r="P13" s="33">
        <f t="shared" si="1"/>
        <v>3.2449044413769643</v>
      </c>
      <c r="Q13">
        <f t="shared" si="2"/>
        <v>1.8594359999999999</v>
      </c>
      <c r="R13">
        <v>13.480399999999999</v>
      </c>
      <c r="S13">
        <v>4.1266699999999998</v>
      </c>
      <c r="X13" s="27" t="s">
        <v>185</v>
      </c>
      <c r="Y13" s="27" t="s">
        <v>214</v>
      </c>
    </row>
    <row r="14" spans="1:25" x14ac:dyDescent="0.25">
      <c r="A14" s="31" t="str">
        <f t="shared" si="0"/>
        <v>./specbzip/l1d_assoc.2</v>
      </c>
      <c r="B14" s="32">
        <v>1.1473599999999999</v>
      </c>
      <c r="C14" s="32">
        <v>0.13728399999999999</v>
      </c>
      <c r="D14" s="32">
        <v>0.16883200000000001</v>
      </c>
      <c r="E14" s="32">
        <v>216.889016</v>
      </c>
      <c r="F14" s="32" t="s">
        <v>185</v>
      </c>
      <c r="G14" s="32" t="s">
        <v>192</v>
      </c>
      <c r="H14" s="32">
        <v>64</v>
      </c>
      <c r="I14" s="32">
        <v>1</v>
      </c>
      <c r="J14" s="32">
        <v>32</v>
      </c>
      <c r="K14" s="32">
        <v>32</v>
      </c>
      <c r="L14" s="32">
        <v>2</v>
      </c>
      <c r="M14" s="32">
        <v>1</v>
      </c>
      <c r="N14" s="32">
        <v>2</v>
      </c>
      <c r="O14" s="32">
        <v>512</v>
      </c>
      <c r="P14" s="33">
        <f t="shared" si="1"/>
        <v>4.6106530355599018</v>
      </c>
      <c r="Q14">
        <f t="shared" si="2"/>
        <v>1.2846439999999999</v>
      </c>
      <c r="R14">
        <v>10.764200000000001</v>
      </c>
      <c r="S14">
        <v>3.8013499999999998</v>
      </c>
      <c r="X14" s="27" t="s">
        <v>185</v>
      </c>
      <c r="Y14" s="27" t="s">
        <v>215</v>
      </c>
    </row>
    <row r="15" spans="1:25" x14ac:dyDescent="0.25">
      <c r="A15" s="31" t="str">
        <f t="shared" si="0"/>
        <v>./specbzip/l1d.128kB_l1i.128kB</v>
      </c>
      <c r="B15" s="32">
        <v>2.1138300000000001</v>
      </c>
      <c r="C15" s="32">
        <v>0.43807000000000001</v>
      </c>
      <c r="D15" s="32">
        <v>0.16570799999999999</v>
      </c>
      <c r="E15" s="32">
        <v>422.87024500000001</v>
      </c>
      <c r="F15" s="32" t="s">
        <v>185</v>
      </c>
      <c r="G15" s="32" t="s">
        <v>191</v>
      </c>
      <c r="H15" s="32">
        <v>64</v>
      </c>
      <c r="I15" s="32">
        <v>1</v>
      </c>
      <c r="J15" s="32">
        <v>128</v>
      </c>
      <c r="K15" s="32">
        <v>128</v>
      </c>
      <c r="L15" s="32">
        <v>1</v>
      </c>
      <c r="M15" s="32">
        <v>1</v>
      </c>
      <c r="N15" s="32">
        <v>2</v>
      </c>
      <c r="O15" s="32">
        <v>512</v>
      </c>
      <c r="P15" s="33">
        <f t="shared" si="1"/>
        <v>2.364791592276728</v>
      </c>
      <c r="Q15">
        <f t="shared" si="2"/>
        <v>2.5519000000000003</v>
      </c>
      <c r="R15">
        <v>18.2455</v>
      </c>
      <c r="S15">
        <v>5.70181</v>
      </c>
      <c r="X15" s="27" t="s">
        <v>185</v>
      </c>
      <c r="Y15" s="27" t="s">
        <v>216</v>
      </c>
    </row>
    <row r="16" spans="1:25" x14ac:dyDescent="0.25">
      <c r="A16" s="31" t="str">
        <f t="shared" si="0"/>
        <v>./specbzip/l2_size.2MB</v>
      </c>
      <c r="B16" s="32">
        <v>1.15062</v>
      </c>
      <c r="C16" s="32">
        <v>0.138682</v>
      </c>
      <c r="D16" s="32">
        <v>0.16846</v>
      </c>
      <c r="E16" s="32">
        <v>217.19581500000001</v>
      </c>
      <c r="F16" s="32" t="s">
        <v>185</v>
      </c>
      <c r="G16" s="32" t="s">
        <v>184</v>
      </c>
      <c r="H16" s="32">
        <v>64</v>
      </c>
      <c r="I16" s="32">
        <v>1</v>
      </c>
      <c r="J16" s="32">
        <v>32</v>
      </c>
      <c r="K16" s="32">
        <v>32</v>
      </c>
      <c r="L16" s="32">
        <v>1</v>
      </c>
      <c r="M16" s="32">
        <v>1</v>
      </c>
      <c r="N16" s="32">
        <v>2</v>
      </c>
      <c r="O16" s="32">
        <v>2048</v>
      </c>
      <c r="P16" s="33">
        <f t="shared" si="1"/>
        <v>4.6041402777489058</v>
      </c>
      <c r="Q16">
        <f t="shared" si="2"/>
        <v>1.2893019999999999</v>
      </c>
      <c r="R16">
        <v>16.329799999999999</v>
      </c>
      <c r="S16">
        <v>3.9575200000000001</v>
      </c>
      <c r="X16" s="27" t="s">
        <v>185</v>
      </c>
      <c r="Y16" s="27" t="s">
        <v>217</v>
      </c>
    </row>
    <row r="17" spans="1:25" x14ac:dyDescent="0.25">
      <c r="A17" s="31" t="str">
        <f t="shared" si="0"/>
        <v>./specbzip/l1d_assoc.1</v>
      </c>
      <c r="B17" s="32">
        <v>1.14703</v>
      </c>
      <c r="C17" s="32">
        <v>0.128417</v>
      </c>
      <c r="D17" s="32">
        <v>0.17277500000000001</v>
      </c>
      <c r="E17" s="32">
        <v>220.36535499999999</v>
      </c>
      <c r="F17" s="32" t="s">
        <v>185</v>
      </c>
      <c r="G17" s="32" t="s">
        <v>192</v>
      </c>
      <c r="H17" s="32">
        <v>64</v>
      </c>
      <c r="I17" s="32">
        <v>1</v>
      </c>
      <c r="J17" s="32">
        <v>32</v>
      </c>
      <c r="K17" s="32">
        <v>32</v>
      </c>
      <c r="L17" s="32">
        <v>1</v>
      </c>
      <c r="M17" s="32">
        <v>1</v>
      </c>
      <c r="N17" s="32">
        <v>2</v>
      </c>
      <c r="O17" s="32">
        <v>512</v>
      </c>
      <c r="P17" s="33">
        <f t="shared" si="1"/>
        <v>4.5379184037345617</v>
      </c>
      <c r="Q17">
        <f t="shared" si="2"/>
        <v>1.275447</v>
      </c>
      <c r="R17">
        <v>10.7277</v>
      </c>
      <c r="S17">
        <v>3.7820100000000001</v>
      </c>
      <c r="X17" s="27" t="s">
        <v>185</v>
      </c>
      <c r="Y17" s="27" t="s">
        <v>218</v>
      </c>
    </row>
    <row r="18" spans="1:25" x14ac:dyDescent="0.25">
      <c r="A18" s="31" t="str">
        <f t="shared" si="0"/>
        <v>./specbzip/l1d.32kB_l1i.16kB</v>
      </c>
      <c r="B18" s="32">
        <v>0.73653299999999999</v>
      </c>
      <c r="C18" s="32">
        <v>0.12842100000000001</v>
      </c>
      <c r="D18" s="32">
        <v>0.172793</v>
      </c>
      <c r="E18" s="32">
        <v>149.45799700000001</v>
      </c>
      <c r="F18" s="32" t="s">
        <v>185</v>
      </c>
      <c r="G18" s="32" t="s">
        <v>191</v>
      </c>
      <c r="H18" s="32">
        <v>64</v>
      </c>
      <c r="I18" s="32">
        <v>1</v>
      </c>
      <c r="J18" s="32">
        <v>32</v>
      </c>
      <c r="K18" s="32">
        <v>16</v>
      </c>
      <c r="L18" s="32">
        <v>1</v>
      </c>
      <c r="M18" s="32">
        <v>1</v>
      </c>
      <c r="N18" s="32">
        <v>2</v>
      </c>
      <c r="O18" s="32">
        <v>512</v>
      </c>
      <c r="P18" s="33">
        <f t="shared" si="1"/>
        <v>6.6908430466922422</v>
      </c>
      <c r="Q18">
        <f t="shared" si="2"/>
        <v>0.864954</v>
      </c>
      <c r="R18">
        <v>8.2911800000000007</v>
      </c>
      <c r="S18">
        <v>2.7398099999999999</v>
      </c>
      <c r="X18" s="27" t="s">
        <v>185</v>
      </c>
      <c r="Y18" s="27" t="s">
        <v>219</v>
      </c>
    </row>
    <row r="19" spans="1:25" x14ac:dyDescent="0.25">
      <c r="A19" s="31" t="str">
        <f t="shared" si="0"/>
        <v>./specbzip/l1d.64kB_l1i.32kB</v>
      </c>
      <c r="B19" s="32">
        <v>1.14703</v>
      </c>
      <c r="C19" s="32">
        <v>0.34284199999999998</v>
      </c>
      <c r="D19" s="32">
        <v>0.16935900000000001</v>
      </c>
      <c r="E19" s="32">
        <v>252.32323199999999</v>
      </c>
      <c r="F19" s="32" t="s">
        <v>185</v>
      </c>
      <c r="G19" s="32" t="s">
        <v>191</v>
      </c>
      <c r="H19" s="32">
        <v>64</v>
      </c>
      <c r="I19" s="32">
        <v>1</v>
      </c>
      <c r="J19" s="32">
        <v>64</v>
      </c>
      <c r="K19" s="32">
        <v>32</v>
      </c>
      <c r="L19" s="32">
        <v>1</v>
      </c>
      <c r="M19" s="32">
        <v>1</v>
      </c>
      <c r="N19" s="32">
        <v>2</v>
      </c>
      <c r="O19" s="32">
        <v>512</v>
      </c>
      <c r="P19" s="33">
        <f t="shared" si="1"/>
        <v>3.9631705415060634</v>
      </c>
      <c r="Q19">
        <f t="shared" si="2"/>
        <v>1.4898720000000001</v>
      </c>
      <c r="R19">
        <v>10.9665</v>
      </c>
      <c r="S19">
        <v>3.6544699999999999</v>
      </c>
      <c r="X19" s="27" t="s">
        <v>185</v>
      </c>
      <c r="Y19" s="27" t="s">
        <v>220</v>
      </c>
    </row>
    <row r="20" spans="1:25" x14ac:dyDescent="0.25">
      <c r="A20" s="31" t="str">
        <f t="shared" si="0"/>
        <v>./specbzip/l1d.64kB_l1i.16kB</v>
      </c>
      <c r="B20" s="32">
        <v>1.13951</v>
      </c>
      <c r="C20" s="32">
        <v>0.34281099999999998</v>
      </c>
      <c r="D20" s="32">
        <v>0.16938400000000001</v>
      </c>
      <c r="E20" s="32">
        <v>251.08145999999999</v>
      </c>
      <c r="F20" s="32" t="s">
        <v>185</v>
      </c>
      <c r="G20" s="32" t="s">
        <v>191</v>
      </c>
      <c r="H20" s="32">
        <v>64</v>
      </c>
      <c r="I20" s="32">
        <v>1</v>
      </c>
      <c r="J20" s="32">
        <v>64</v>
      </c>
      <c r="K20" s="32">
        <v>16</v>
      </c>
      <c r="L20" s="32">
        <v>1</v>
      </c>
      <c r="M20" s="32">
        <v>1</v>
      </c>
      <c r="N20" s="32">
        <v>2</v>
      </c>
      <c r="O20" s="32">
        <v>512</v>
      </c>
      <c r="P20" s="33">
        <f t="shared" si="1"/>
        <v>3.9827711691655767</v>
      </c>
      <c r="Q20">
        <f t="shared" si="2"/>
        <v>1.482321</v>
      </c>
      <c r="R20">
        <v>10.918900000000001</v>
      </c>
      <c r="S20">
        <v>3.6363699999999999</v>
      </c>
      <c r="X20" s="27" t="s">
        <v>185</v>
      </c>
      <c r="Y20" s="27" t="s">
        <v>221</v>
      </c>
    </row>
    <row r="21" spans="1:25" x14ac:dyDescent="0.25">
      <c r="A21" s="31" t="str">
        <f t="shared" si="0"/>
        <v>./specbzip/l1d.32kB_l1i.128kB</v>
      </c>
      <c r="B21" s="32">
        <v>1.4289400000000001</v>
      </c>
      <c r="C21" s="32">
        <v>0.128417</v>
      </c>
      <c r="D21" s="32">
        <v>0.17277500000000001</v>
      </c>
      <c r="E21" s="32">
        <v>269.07235600000001</v>
      </c>
      <c r="F21" s="32" t="s">
        <v>185</v>
      </c>
      <c r="G21" s="32" t="s">
        <v>191</v>
      </c>
      <c r="H21" s="32">
        <v>64</v>
      </c>
      <c r="I21" s="32">
        <v>1</v>
      </c>
      <c r="J21" s="32">
        <v>32</v>
      </c>
      <c r="K21" s="32">
        <v>128</v>
      </c>
      <c r="L21" s="32">
        <v>1</v>
      </c>
      <c r="M21" s="32">
        <v>1</v>
      </c>
      <c r="N21" s="32">
        <v>2</v>
      </c>
      <c r="O21" s="32">
        <v>512</v>
      </c>
      <c r="P21" s="33">
        <f t="shared" si="1"/>
        <v>3.7164724569476024</v>
      </c>
      <c r="Q21">
        <f t="shared" si="2"/>
        <v>1.5573570000000001</v>
      </c>
      <c r="R21">
        <v>13.0563</v>
      </c>
      <c r="S21">
        <v>4.31494</v>
      </c>
      <c r="X21" s="27" t="s">
        <v>185</v>
      </c>
      <c r="Y21" s="27" t="s">
        <v>222</v>
      </c>
    </row>
    <row r="22" spans="1:25" x14ac:dyDescent="0.25">
      <c r="A22" s="31" t="str">
        <f t="shared" si="0"/>
        <v>./specbzip/l2d_assoc.2</v>
      </c>
      <c r="B22" s="32">
        <v>1.14703</v>
      </c>
      <c r="C22" s="32">
        <v>0.128417</v>
      </c>
      <c r="D22" s="32">
        <v>0.17277500000000001</v>
      </c>
      <c r="E22" s="32">
        <v>220.36535499999999</v>
      </c>
      <c r="F22" s="32" t="s">
        <v>185</v>
      </c>
      <c r="G22" s="32" t="s">
        <v>194</v>
      </c>
      <c r="H22" s="32">
        <v>64</v>
      </c>
      <c r="I22" s="32">
        <v>1</v>
      </c>
      <c r="J22" s="32">
        <v>32</v>
      </c>
      <c r="K22" s="32">
        <v>32</v>
      </c>
      <c r="L22" s="32">
        <v>1</v>
      </c>
      <c r="M22" s="32">
        <v>1</v>
      </c>
      <c r="N22" s="32">
        <v>2</v>
      </c>
      <c r="O22" s="32">
        <v>512</v>
      </c>
      <c r="P22" s="33">
        <f t="shared" si="1"/>
        <v>4.5379184037345617</v>
      </c>
      <c r="Q22">
        <f t="shared" si="2"/>
        <v>1.275447</v>
      </c>
      <c r="R22">
        <v>10.7277</v>
      </c>
      <c r="S22">
        <v>3.7820100000000001</v>
      </c>
      <c r="X22" s="27" t="s">
        <v>185</v>
      </c>
      <c r="Y22" s="27" t="s">
        <v>223</v>
      </c>
    </row>
    <row r="23" spans="1:25" x14ac:dyDescent="0.25">
      <c r="A23" s="31" t="str">
        <f t="shared" si="0"/>
        <v>./specbzip/l1d_assoc.4</v>
      </c>
      <c r="B23" s="32">
        <v>1.22661</v>
      </c>
      <c r="C23" s="32">
        <v>0.27309</v>
      </c>
      <c r="D23" s="32">
        <v>0.16750599999999999</v>
      </c>
      <c r="E23" s="32">
        <v>251.20874800000001</v>
      </c>
      <c r="F23" s="32" t="s">
        <v>185</v>
      </c>
      <c r="G23" s="32" t="s">
        <v>192</v>
      </c>
      <c r="H23" s="32">
        <v>64</v>
      </c>
      <c r="I23" s="32">
        <v>1</v>
      </c>
      <c r="J23" s="32">
        <v>32</v>
      </c>
      <c r="K23" s="32">
        <v>32</v>
      </c>
      <c r="L23" s="32">
        <v>4</v>
      </c>
      <c r="M23" s="32">
        <v>1</v>
      </c>
      <c r="N23" s="32">
        <v>2</v>
      </c>
      <c r="O23" s="32">
        <v>512</v>
      </c>
      <c r="P23" s="33">
        <f t="shared" si="1"/>
        <v>3.9807530906527191</v>
      </c>
      <c r="Q23">
        <f t="shared" si="2"/>
        <v>1.4997</v>
      </c>
      <c r="R23">
        <v>11.603899999999999</v>
      </c>
      <c r="S23">
        <v>4.2146999999999997</v>
      </c>
      <c r="X23" s="27" t="s">
        <v>185</v>
      </c>
      <c r="Y23" s="27" t="s">
        <v>224</v>
      </c>
    </row>
    <row r="24" spans="1:25" x14ac:dyDescent="0.25">
      <c r="A24" s="31" t="str">
        <f t="shared" si="0"/>
        <v>./specbzip/cacheline.128</v>
      </c>
      <c r="B24" s="32">
        <v>1.1059399999999999</v>
      </c>
      <c r="C24" s="32">
        <v>0.228792</v>
      </c>
      <c r="D24" s="32">
        <v>0.173092</v>
      </c>
      <c r="E24" s="32">
        <v>231.031431</v>
      </c>
      <c r="F24" s="32" t="s">
        <v>185</v>
      </c>
      <c r="G24" s="32" t="s">
        <v>190</v>
      </c>
      <c r="H24" s="32">
        <v>128</v>
      </c>
      <c r="I24" s="32">
        <v>1</v>
      </c>
      <c r="J24" s="32">
        <v>32</v>
      </c>
      <c r="K24" s="32">
        <v>32</v>
      </c>
      <c r="L24" s="32">
        <v>1</v>
      </c>
      <c r="M24" s="32">
        <v>1</v>
      </c>
      <c r="N24" s="32">
        <v>2</v>
      </c>
      <c r="O24" s="32">
        <v>512</v>
      </c>
      <c r="P24" s="33">
        <f t="shared" si="1"/>
        <v>4.3284153834462469</v>
      </c>
      <c r="Q24">
        <f t="shared" si="2"/>
        <v>1.3347319999999998</v>
      </c>
      <c r="R24">
        <v>27.278600000000001</v>
      </c>
      <c r="S24">
        <v>8.1870999999999992</v>
      </c>
      <c r="X24" s="27" t="s">
        <v>185</v>
      </c>
      <c r="Y24" s="27" t="s">
        <v>225</v>
      </c>
    </row>
    <row r="25" spans="1:25" x14ac:dyDescent="0.25">
      <c r="A25" s="31" t="str">
        <f t="shared" si="0"/>
        <v>./specbzip/l1d.16kB_l1i.16kB</v>
      </c>
      <c r="B25" s="32">
        <v>0.72901800000000005</v>
      </c>
      <c r="C25" s="32">
        <v>0.12597900000000001</v>
      </c>
      <c r="D25" s="32">
        <v>0.17737800000000001</v>
      </c>
      <c r="E25" s="32">
        <v>151.657658</v>
      </c>
      <c r="F25" s="32" t="s">
        <v>185</v>
      </c>
      <c r="G25" s="32" t="s">
        <v>191</v>
      </c>
      <c r="H25" s="32">
        <v>64</v>
      </c>
      <c r="I25" s="32">
        <v>1</v>
      </c>
      <c r="J25" s="32">
        <v>16</v>
      </c>
      <c r="K25" s="32">
        <v>16</v>
      </c>
      <c r="L25" s="32">
        <v>1</v>
      </c>
      <c r="M25" s="32">
        <v>1</v>
      </c>
      <c r="N25" s="32">
        <v>2</v>
      </c>
      <c r="O25" s="32">
        <v>512</v>
      </c>
      <c r="P25" s="33">
        <f t="shared" si="1"/>
        <v>6.5937982505308108</v>
      </c>
      <c r="Q25">
        <f t="shared" si="2"/>
        <v>0.85499700000000001</v>
      </c>
      <c r="R25">
        <v>8.2387999999999995</v>
      </c>
      <c r="S25">
        <v>2.7204899999999999</v>
      </c>
      <c r="X25" s="27" t="s">
        <v>185</v>
      </c>
      <c r="Y25" s="27" t="s">
        <v>226</v>
      </c>
    </row>
    <row r="26" spans="1:25" x14ac:dyDescent="0.25">
      <c r="A26" s="31" t="str">
        <f t="shared" si="0"/>
        <v>./specbzip/l2_size.512kB</v>
      </c>
      <c r="B26" s="32">
        <v>1.14703</v>
      </c>
      <c r="C26" s="32">
        <v>0.128417</v>
      </c>
      <c r="D26" s="32">
        <v>0.17277500000000001</v>
      </c>
      <c r="E26" s="32">
        <v>220.36535499999999</v>
      </c>
      <c r="F26" s="32" t="s">
        <v>185</v>
      </c>
      <c r="G26" s="32" t="s">
        <v>184</v>
      </c>
      <c r="H26" s="32">
        <v>64</v>
      </c>
      <c r="I26" s="32">
        <v>1</v>
      </c>
      <c r="J26" s="32">
        <v>32</v>
      </c>
      <c r="K26" s="32">
        <v>32</v>
      </c>
      <c r="L26" s="32">
        <v>1</v>
      </c>
      <c r="M26" s="32">
        <v>1</v>
      </c>
      <c r="N26" s="32">
        <v>2</v>
      </c>
      <c r="O26" s="32">
        <v>512</v>
      </c>
      <c r="P26" s="33">
        <f t="shared" si="1"/>
        <v>4.5379184037345617</v>
      </c>
      <c r="Q26">
        <f t="shared" si="2"/>
        <v>1.275447</v>
      </c>
      <c r="R26">
        <v>10.7277</v>
      </c>
      <c r="S26">
        <v>3.7820100000000001</v>
      </c>
      <c r="X26" s="27" t="s">
        <v>185</v>
      </c>
      <c r="Y26" s="27" t="s">
        <v>227</v>
      </c>
    </row>
    <row r="27" spans="1:25" x14ac:dyDescent="0.25">
      <c r="A27" s="31" t="str">
        <f t="shared" si="0"/>
        <v>./specbzip/cacheline.64</v>
      </c>
      <c r="B27" s="32">
        <v>1.14703</v>
      </c>
      <c r="C27" s="32">
        <v>0.128417</v>
      </c>
      <c r="D27" s="32">
        <v>0.17277500000000001</v>
      </c>
      <c r="E27" s="32">
        <v>220.36535499999999</v>
      </c>
      <c r="F27" s="32" t="s">
        <v>185</v>
      </c>
      <c r="G27" s="32" t="s">
        <v>190</v>
      </c>
      <c r="H27" s="32">
        <v>64</v>
      </c>
      <c r="I27" s="32">
        <v>1</v>
      </c>
      <c r="J27" s="32">
        <v>32</v>
      </c>
      <c r="K27" s="32">
        <v>32</v>
      </c>
      <c r="L27" s="32">
        <v>1</v>
      </c>
      <c r="M27" s="32">
        <v>1</v>
      </c>
      <c r="N27" s="32">
        <v>2</v>
      </c>
      <c r="O27" s="32">
        <v>512</v>
      </c>
      <c r="P27" s="33">
        <f t="shared" si="1"/>
        <v>4.5379184037345617</v>
      </c>
      <c r="Q27">
        <f t="shared" si="2"/>
        <v>1.275447</v>
      </c>
      <c r="R27">
        <v>10.7277</v>
      </c>
      <c r="S27">
        <v>3.7820100000000001</v>
      </c>
      <c r="X27" s="27" t="s">
        <v>185</v>
      </c>
      <c r="Y27" s="27" t="s">
        <v>228</v>
      </c>
    </row>
    <row r="28" spans="1:25" x14ac:dyDescent="0.25">
      <c r="A28" s="31" t="str">
        <f t="shared" si="0"/>
        <v>./specbzip/l1d.128kB_l1i.32kB</v>
      </c>
      <c r="B28" s="32">
        <v>1.4289400000000001</v>
      </c>
      <c r="C28" s="32">
        <v>0.43804900000000002</v>
      </c>
      <c r="D28" s="32">
        <v>0.165716</v>
      </c>
      <c r="E28" s="32">
        <v>309.389949</v>
      </c>
      <c r="F28" s="32" t="s">
        <v>185</v>
      </c>
      <c r="G28" s="32" t="s">
        <v>191</v>
      </c>
      <c r="H28" s="32">
        <v>64</v>
      </c>
      <c r="I28" s="32">
        <v>1</v>
      </c>
      <c r="J28" s="32">
        <v>128</v>
      </c>
      <c r="K28" s="32">
        <v>32</v>
      </c>
      <c r="L28" s="32">
        <v>1</v>
      </c>
      <c r="M28" s="32">
        <v>1</v>
      </c>
      <c r="N28" s="32">
        <v>2</v>
      </c>
      <c r="O28" s="32">
        <v>512</v>
      </c>
      <c r="P28" s="33">
        <f t="shared" si="1"/>
        <v>3.2321670540111826</v>
      </c>
      <c r="Q28">
        <f t="shared" si="2"/>
        <v>1.8669890000000002</v>
      </c>
      <c r="R28">
        <v>13.528</v>
      </c>
      <c r="S28">
        <v>4.1447799999999999</v>
      </c>
      <c r="X28" s="27" t="s">
        <v>185</v>
      </c>
      <c r="Y28" s="27" t="s">
        <v>229</v>
      </c>
    </row>
    <row r="29" spans="1:25" x14ac:dyDescent="0.25">
      <c r="A29" s="31" t="str">
        <f t="shared" si="0"/>
        <v>./specbzip/l1d.16kB_l1i.64kB</v>
      </c>
      <c r="B29" s="32">
        <v>1.13951</v>
      </c>
      <c r="C29" s="32">
        <v>0.125973</v>
      </c>
      <c r="D29" s="32">
        <v>0.17736199999999999</v>
      </c>
      <c r="E29" s="32">
        <v>224.44859600000001</v>
      </c>
      <c r="F29" s="32" t="s">
        <v>185</v>
      </c>
      <c r="G29" s="32" t="s">
        <v>191</v>
      </c>
      <c r="H29" s="32">
        <v>64</v>
      </c>
      <c r="I29" s="32">
        <v>1</v>
      </c>
      <c r="J29" s="32">
        <v>16</v>
      </c>
      <c r="K29" s="32">
        <v>64</v>
      </c>
      <c r="L29" s="32">
        <v>1</v>
      </c>
      <c r="M29" s="32">
        <v>1</v>
      </c>
      <c r="N29" s="32">
        <v>2</v>
      </c>
      <c r="O29" s="32">
        <v>512</v>
      </c>
      <c r="P29" s="33">
        <f t="shared" si="1"/>
        <v>4.4553631335702359</v>
      </c>
      <c r="Q29">
        <f t="shared" si="2"/>
        <v>1.2654830000000001</v>
      </c>
      <c r="R29">
        <v>10.6753</v>
      </c>
      <c r="S29">
        <v>3.7626900000000001</v>
      </c>
      <c r="X29" s="27" t="s">
        <v>185</v>
      </c>
      <c r="Y29" s="27" t="s">
        <v>230</v>
      </c>
    </row>
    <row r="30" spans="1:25" x14ac:dyDescent="0.25">
      <c r="A30" s="31" t="str">
        <f t="shared" si="0"/>
        <v>./specbzip/cacheline.32</v>
      </c>
      <c r="B30" s="32">
        <v>0.84024299999999996</v>
      </c>
      <c r="C30" s="32">
        <v>0.11261500000000001</v>
      </c>
      <c r="D30" s="32">
        <v>0.18363699999999999</v>
      </c>
      <c r="E30" s="32">
        <v>174.979985</v>
      </c>
      <c r="F30" s="32" t="s">
        <v>185</v>
      </c>
      <c r="G30" s="32" t="s">
        <v>190</v>
      </c>
      <c r="H30" s="32">
        <v>32</v>
      </c>
      <c r="I30" s="32">
        <v>1</v>
      </c>
      <c r="J30" s="32">
        <v>32</v>
      </c>
      <c r="K30" s="32">
        <v>32</v>
      </c>
      <c r="L30" s="32">
        <v>1</v>
      </c>
      <c r="M30" s="32">
        <v>1</v>
      </c>
      <c r="N30" s="32">
        <v>2</v>
      </c>
      <c r="O30" s="32">
        <v>512</v>
      </c>
      <c r="P30" s="33">
        <f t="shared" si="1"/>
        <v>5.7149393400622364</v>
      </c>
      <c r="Q30">
        <f t="shared" si="2"/>
        <v>0.95285799999999998</v>
      </c>
      <c r="R30">
        <v>8.6724599999999992</v>
      </c>
      <c r="S30">
        <v>2.17171</v>
      </c>
      <c r="X30" s="27" t="s">
        <v>185</v>
      </c>
      <c r="Y30" s="27" t="s">
        <v>231</v>
      </c>
    </row>
    <row r="31" spans="1:25" x14ac:dyDescent="0.25">
      <c r="A31" s="31" t="str">
        <f t="shared" si="0"/>
        <v>./specbzip/l1d.64kB_l1i.64kB</v>
      </c>
      <c r="B31" s="32">
        <v>1.55</v>
      </c>
      <c r="C31" s="32">
        <v>0.34282499999999999</v>
      </c>
      <c r="D31" s="32">
        <v>0.16936899999999999</v>
      </c>
      <c r="E31" s="32">
        <v>320.58587699999998</v>
      </c>
      <c r="F31" s="32" t="s">
        <v>185</v>
      </c>
      <c r="G31" s="32" t="s">
        <v>191</v>
      </c>
      <c r="H31" s="32">
        <v>64</v>
      </c>
      <c r="I31" s="32">
        <v>1</v>
      </c>
      <c r="J31" s="32">
        <v>64</v>
      </c>
      <c r="K31" s="32">
        <v>64</v>
      </c>
      <c r="L31" s="32">
        <v>1</v>
      </c>
      <c r="M31" s="32">
        <v>1</v>
      </c>
      <c r="N31" s="32">
        <v>2</v>
      </c>
      <c r="O31" s="32">
        <v>512</v>
      </c>
      <c r="P31" s="33">
        <f t="shared" si="1"/>
        <v>3.1192890009936405</v>
      </c>
      <c r="Q31">
        <f t="shared" si="2"/>
        <v>1.892825</v>
      </c>
      <c r="R31">
        <v>13.355399999999999</v>
      </c>
      <c r="S31">
        <v>4.6785699999999997</v>
      </c>
      <c r="X31" s="27" t="s">
        <v>185</v>
      </c>
      <c r="Y31" s="27" t="s">
        <v>232</v>
      </c>
    </row>
    <row r="32" spans="1:25" x14ac:dyDescent="0.25">
      <c r="A32" s="31" t="str">
        <f t="shared" si="0"/>
        <v>./specbzip/l1d.128kB_l1i.64kB</v>
      </c>
      <c r="B32" s="32">
        <v>1.83192</v>
      </c>
      <c r="C32" s="32">
        <v>0.43806899999999999</v>
      </c>
      <c r="D32" s="32">
        <v>0.16570799999999999</v>
      </c>
      <c r="E32" s="32">
        <v>376.15533699999997</v>
      </c>
      <c r="F32" s="32" t="s">
        <v>185</v>
      </c>
      <c r="G32" s="32" t="s">
        <v>191</v>
      </c>
      <c r="H32" s="32">
        <v>64</v>
      </c>
      <c r="I32" s="32">
        <v>1</v>
      </c>
      <c r="J32" s="32">
        <v>128</v>
      </c>
      <c r="K32" s="32">
        <v>64</v>
      </c>
      <c r="L32" s="32">
        <v>1</v>
      </c>
      <c r="M32" s="32">
        <v>1</v>
      </c>
      <c r="N32" s="32">
        <v>2</v>
      </c>
      <c r="O32" s="32">
        <v>512</v>
      </c>
      <c r="P32" s="33">
        <f t="shared" si="1"/>
        <v>2.6584761709761415</v>
      </c>
      <c r="Q32">
        <f t="shared" si="2"/>
        <v>2.2699889999999998</v>
      </c>
      <c r="R32">
        <v>15.9169</v>
      </c>
      <c r="S32">
        <v>5.1688700000000001</v>
      </c>
      <c r="X32" s="27" t="s">
        <v>185</v>
      </c>
      <c r="Y32" s="27" t="s">
        <v>233</v>
      </c>
    </row>
    <row r="33" spans="1:25" x14ac:dyDescent="0.25">
      <c r="A33" s="31" t="str">
        <f t="shared" si="0"/>
        <v>./specbzip/l2_size.1MB</v>
      </c>
      <c r="B33" s="32">
        <v>1.14855</v>
      </c>
      <c r="C33" s="32">
        <v>0.13248099999999999</v>
      </c>
      <c r="D33" s="32">
        <v>0.17011599999999999</v>
      </c>
      <c r="E33" s="32">
        <v>217.92386999999999</v>
      </c>
      <c r="F33" s="32" t="s">
        <v>185</v>
      </c>
      <c r="G33" s="32" t="s">
        <v>184</v>
      </c>
      <c r="H33" s="32">
        <v>64</v>
      </c>
      <c r="I33" s="32">
        <v>1</v>
      </c>
      <c r="J33" s="32">
        <v>32</v>
      </c>
      <c r="K33" s="32">
        <v>32</v>
      </c>
      <c r="L33" s="32">
        <v>1</v>
      </c>
      <c r="M33" s="32">
        <v>1</v>
      </c>
      <c r="N33" s="32">
        <v>2</v>
      </c>
      <c r="O33" s="32">
        <v>1024</v>
      </c>
      <c r="P33" s="33">
        <f t="shared" si="1"/>
        <v>4.588758450370765</v>
      </c>
      <c r="Q33">
        <f t="shared" si="2"/>
        <v>1.281031</v>
      </c>
      <c r="R33">
        <v>12.81</v>
      </c>
      <c r="S33">
        <v>3.8508</v>
      </c>
      <c r="X33" s="27" t="s">
        <v>185</v>
      </c>
      <c r="Y33" s="27" t="s">
        <v>234</v>
      </c>
    </row>
    <row r="34" spans="1:25" x14ac:dyDescent="0.25">
      <c r="A34" s="31" t="str">
        <f t="shared" si="0"/>
        <v>./specbzip/l1d.16kB_l1i.128kB</v>
      </c>
      <c r="B34" s="32">
        <v>1.4214199999999999</v>
      </c>
      <c r="C34" s="32">
        <v>0.12597900000000001</v>
      </c>
      <c r="D34" s="32">
        <v>0.17735300000000001</v>
      </c>
      <c r="E34" s="32">
        <v>274.435855</v>
      </c>
      <c r="F34" s="32" t="s">
        <v>185</v>
      </c>
      <c r="G34" s="32" t="s">
        <v>191</v>
      </c>
      <c r="H34" s="32">
        <v>64</v>
      </c>
      <c r="I34" s="32">
        <v>1</v>
      </c>
      <c r="J34" s="32">
        <v>16</v>
      </c>
      <c r="K34" s="32">
        <v>128</v>
      </c>
      <c r="L34" s="32">
        <v>1</v>
      </c>
      <c r="M34" s="32">
        <v>1</v>
      </c>
      <c r="N34" s="32">
        <v>2</v>
      </c>
      <c r="O34" s="32">
        <v>512</v>
      </c>
      <c r="P34" s="33">
        <f t="shared" si="1"/>
        <v>3.6438387396573964</v>
      </c>
      <c r="Q34">
        <f t="shared" si="2"/>
        <v>1.547399</v>
      </c>
      <c r="R34">
        <v>13.0039</v>
      </c>
      <c r="S34">
        <v>4.2956300000000001</v>
      </c>
      <c r="X34" s="27" t="s">
        <v>185</v>
      </c>
      <c r="Y34" s="27" t="s">
        <v>235</v>
      </c>
    </row>
    <row r="35" spans="1:25" ht="15.75" thickBot="1" x14ac:dyDescent="0.3">
      <c r="A35" s="34" t="str">
        <f t="shared" si="0"/>
        <v>./specbzip/l2_size.4MB</v>
      </c>
      <c r="B35" s="35">
        <v>1.1553500000000001</v>
      </c>
      <c r="C35" s="35">
        <v>0.14599899999999999</v>
      </c>
      <c r="D35" s="35">
        <v>0.166682</v>
      </c>
      <c r="E35" s="35">
        <v>216.91145399999999</v>
      </c>
      <c r="F35" s="35" t="s">
        <v>185</v>
      </c>
      <c r="G35" s="35" t="s">
        <v>184</v>
      </c>
      <c r="H35" s="35">
        <v>64</v>
      </c>
      <c r="I35" s="35">
        <v>1</v>
      </c>
      <c r="J35" s="35">
        <v>32</v>
      </c>
      <c r="K35" s="35">
        <v>32</v>
      </c>
      <c r="L35" s="35">
        <v>1</v>
      </c>
      <c r="M35" s="35">
        <v>1</v>
      </c>
      <c r="N35" s="35">
        <v>2</v>
      </c>
      <c r="O35" s="35">
        <v>4096</v>
      </c>
      <c r="P35" s="36">
        <f t="shared" si="1"/>
        <v>4.6101760951729176</v>
      </c>
      <c r="Q35">
        <f t="shared" si="2"/>
        <v>1.3013490000000001</v>
      </c>
      <c r="R35">
        <v>21.516200000000001</v>
      </c>
      <c r="S35">
        <v>4.0805100000000003</v>
      </c>
      <c r="X35" s="27" t="s">
        <v>185</v>
      </c>
      <c r="Y35" s="27" t="s">
        <v>236</v>
      </c>
    </row>
    <row r="36" spans="1:25" x14ac:dyDescent="0.25">
      <c r="A36" s="28" t="str">
        <f>"./" &amp; X36 &amp; "/" &amp; TRIM(Y36)</f>
        <v>./spechmmer/l2_size.256kB</v>
      </c>
      <c r="B36" s="29">
        <v>1.1464399999999999</v>
      </c>
      <c r="C36" s="29">
        <v>8.7482000000000004E-2</v>
      </c>
      <c r="D36" s="29">
        <v>5.8999999999999998E-5</v>
      </c>
      <c r="E36" s="29">
        <v>7.2801000000000005E-2</v>
      </c>
      <c r="F36" s="29" t="s">
        <v>186</v>
      </c>
      <c r="G36" s="29" t="s">
        <v>184</v>
      </c>
      <c r="H36" s="29">
        <v>64</v>
      </c>
      <c r="I36" s="29">
        <v>1</v>
      </c>
      <c r="J36" s="29">
        <v>32</v>
      </c>
      <c r="K36" s="29">
        <v>32</v>
      </c>
      <c r="L36" s="29">
        <v>1</v>
      </c>
      <c r="M36" s="29">
        <v>1</v>
      </c>
      <c r="N36" s="29">
        <v>2</v>
      </c>
      <c r="O36" s="29">
        <v>256</v>
      </c>
      <c r="P36" s="38">
        <f>1/E36*1000/2000</f>
        <v>6.8680375269570471</v>
      </c>
      <c r="Q36">
        <f t="shared" si="2"/>
        <v>1.233922</v>
      </c>
      <c r="R36">
        <v>10.182499999999999</v>
      </c>
      <c r="S36">
        <v>3.7515200000000002</v>
      </c>
      <c r="X36" s="27" t="s">
        <v>186</v>
      </c>
      <c r="Y36" s="27" t="s">
        <v>203</v>
      </c>
    </row>
    <row r="37" spans="1:25" x14ac:dyDescent="0.25">
      <c r="A37" s="31" t="str">
        <f>"./" &amp; X37 &amp; "/" &amp; TRIM(Y37)</f>
        <v>./spechmmer/l2d_assoc.4</v>
      </c>
      <c r="B37" s="32">
        <v>1.14703</v>
      </c>
      <c r="C37" s="32">
        <v>8.7862999999999997E-2</v>
      </c>
      <c r="D37" s="32">
        <v>5.8999999999999998E-5</v>
      </c>
      <c r="E37" s="32">
        <v>7.2858999999999993E-2</v>
      </c>
      <c r="F37" s="32" t="s">
        <v>186</v>
      </c>
      <c r="G37" s="32" t="s">
        <v>194</v>
      </c>
      <c r="H37" s="32">
        <v>64</v>
      </c>
      <c r="I37" s="32">
        <v>1</v>
      </c>
      <c r="J37" s="32">
        <v>32</v>
      </c>
      <c r="K37" s="32">
        <v>32</v>
      </c>
      <c r="L37" s="32">
        <v>1</v>
      </c>
      <c r="M37" s="32">
        <v>1</v>
      </c>
      <c r="N37" s="32">
        <v>4</v>
      </c>
      <c r="O37" s="32">
        <v>512</v>
      </c>
      <c r="P37" s="39">
        <f t="shared" ref="P37:P69" si="3">1/E37*1000/2000</f>
        <v>6.8625701697799864</v>
      </c>
      <c r="Q37">
        <f t="shared" si="2"/>
        <v>1.234893</v>
      </c>
      <c r="R37">
        <v>10.7264</v>
      </c>
      <c r="S37">
        <v>3.7822800000000001</v>
      </c>
      <c r="X37" s="27" t="s">
        <v>186</v>
      </c>
      <c r="Y37" s="27" t="s">
        <v>204</v>
      </c>
    </row>
    <row r="38" spans="1:25" x14ac:dyDescent="0.25">
      <c r="A38" s="31" t="str">
        <f>"./" &amp; X38 &amp; "/" &amp; TRIM(Y38)</f>
        <v>./spechmmer/l1i_assoc.2</v>
      </c>
      <c r="B38" s="32">
        <v>1.14927</v>
      </c>
      <c r="C38" s="32">
        <v>8.77E-2</v>
      </c>
      <c r="D38" s="32">
        <v>5.8999999999999998E-5</v>
      </c>
      <c r="E38" s="32">
        <v>7.2981000000000004E-2</v>
      </c>
      <c r="F38" s="32" t="s">
        <v>186</v>
      </c>
      <c r="G38" s="32" t="s">
        <v>193</v>
      </c>
      <c r="H38" s="32">
        <v>64</v>
      </c>
      <c r="I38" s="32">
        <v>1</v>
      </c>
      <c r="J38" s="32">
        <v>32</v>
      </c>
      <c r="K38" s="32">
        <v>32</v>
      </c>
      <c r="L38" s="32">
        <v>1</v>
      </c>
      <c r="M38" s="32">
        <v>2</v>
      </c>
      <c r="N38" s="32">
        <v>2</v>
      </c>
      <c r="O38" s="32">
        <v>512</v>
      </c>
      <c r="P38" s="39">
        <f t="shared" si="3"/>
        <v>6.8510982310464366</v>
      </c>
      <c r="Q38">
        <f t="shared" si="2"/>
        <v>1.2369699999999999</v>
      </c>
      <c r="R38">
        <v>10.7638</v>
      </c>
      <c r="S38">
        <v>3.7873899999999998</v>
      </c>
      <c r="X38" s="27" t="s">
        <v>186</v>
      </c>
      <c r="Y38" s="27" t="s">
        <v>205</v>
      </c>
    </row>
    <row r="39" spans="1:25" x14ac:dyDescent="0.25">
      <c r="A39" s="31" t="str">
        <f>"./" &amp; X39 &amp; "/" &amp; TRIM(Y39)</f>
        <v>./spechmmer/l1d.64kB_l1i.128kB</v>
      </c>
      <c r="B39" s="32">
        <v>1.83192</v>
      </c>
      <c r="C39" s="32">
        <v>0.14600099999999999</v>
      </c>
      <c r="D39" s="32">
        <v>5.8E-5</v>
      </c>
      <c r="E39" s="32">
        <v>0.114719</v>
      </c>
      <c r="F39" s="32" t="s">
        <v>186</v>
      </c>
      <c r="G39" s="32" t="s">
        <v>191</v>
      </c>
      <c r="H39" s="32">
        <v>64</v>
      </c>
      <c r="I39" s="32">
        <v>1</v>
      </c>
      <c r="J39" s="32">
        <v>64</v>
      </c>
      <c r="K39" s="32">
        <v>128</v>
      </c>
      <c r="L39" s="32">
        <v>1</v>
      </c>
      <c r="M39" s="32">
        <v>1</v>
      </c>
      <c r="N39" s="32">
        <v>2</v>
      </c>
      <c r="O39" s="32">
        <v>512</v>
      </c>
      <c r="P39" s="39">
        <f t="shared" si="3"/>
        <v>4.358475928137449</v>
      </c>
      <c r="Q39">
        <f t="shared" si="2"/>
        <v>1.977921</v>
      </c>
      <c r="R39">
        <v>15.683999999999999</v>
      </c>
      <c r="S39">
        <v>5.2115</v>
      </c>
      <c r="X39" s="27" t="s">
        <v>186</v>
      </c>
      <c r="Y39" s="27" t="s">
        <v>206</v>
      </c>
    </row>
    <row r="40" spans="1:25" x14ac:dyDescent="0.25">
      <c r="A40" s="31" t="str">
        <f>"./" &amp; X40 &amp; "/" &amp; TRIM(Y40)</f>
        <v>./spechmmer/l1d.16kB_l1i.32kB</v>
      </c>
      <c r="B40" s="32">
        <v>0.73653299999999999</v>
      </c>
      <c r="C40" s="32">
        <v>8.3642999999999995E-2</v>
      </c>
      <c r="D40" s="32">
        <v>6.0999999999999999E-5</v>
      </c>
      <c r="E40" s="32">
        <v>5.0030999999999999E-2</v>
      </c>
      <c r="F40" s="32" t="s">
        <v>186</v>
      </c>
      <c r="G40" s="32" t="s">
        <v>191</v>
      </c>
      <c r="H40" s="32">
        <v>64</v>
      </c>
      <c r="I40" s="32">
        <v>1</v>
      </c>
      <c r="J40" s="32">
        <v>16</v>
      </c>
      <c r="K40" s="32">
        <v>32</v>
      </c>
      <c r="L40" s="32">
        <v>1</v>
      </c>
      <c r="M40" s="32">
        <v>1</v>
      </c>
      <c r="N40" s="32">
        <v>2</v>
      </c>
      <c r="O40" s="32">
        <v>512</v>
      </c>
      <c r="P40" s="39">
        <f t="shared" si="3"/>
        <v>9.9938038416181971</v>
      </c>
      <c r="Q40">
        <f t="shared" si="2"/>
        <v>0.82017600000000002</v>
      </c>
      <c r="R40">
        <v>8.2864199999999997</v>
      </c>
      <c r="S40">
        <v>2.7385999999999999</v>
      </c>
      <c r="X40" s="27" t="s">
        <v>186</v>
      </c>
      <c r="Y40" s="27" t="s">
        <v>207</v>
      </c>
    </row>
    <row r="41" spans="1:25" x14ac:dyDescent="0.25">
      <c r="A41" s="31" t="str">
        <f>"./" &amp; X41 &amp; "/" &amp; TRIM(Y41)</f>
        <v>./spechmmer/cpu_clock.1GHz</v>
      </c>
      <c r="B41" s="32">
        <v>1.14703</v>
      </c>
      <c r="C41" s="32">
        <v>8.7855000000000003E-2</v>
      </c>
      <c r="D41" s="32">
        <v>5.8999999999999998E-5</v>
      </c>
      <c r="E41" s="32">
        <v>7.2858000000000006E-2</v>
      </c>
      <c r="F41" s="32" t="s">
        <v>186</v>
      </c>
      <c r="G41" s="32" t="s">
        <v>195</v>
      </c>
      <c r="H41" s="32">
        <v>64</v>
      </c>
      <c r="I41" s="32">
        <v>1</v>
      </c>
      <c r="J41" s="32">
        <v>32</v>
      </c>
      <c r="K41" s="32">
        <v>32</v>
      </c>
      <c r="L41" s="32">
        <v>1</v>
      </c>
      <c r="M41" s="32">
        <v>1</v>
      </c>
      <c r="N41" s="32">
        <v>2</v>
      </c>
      <c r="O41" s="32">
        <v>512</v>
      </c>
      <c r="P41" s="39">
        <f t="shared" si="3"/>
        <v>6.8626643608114408</v>
      </c>
      <c r="Q41">
        <f t="shared" si="2"/>
        <v>1.234885</v>
      </c>
      <c r="R41">
        <v>10.7277</v>
      </c>
      <c r="S41">
        <v>3.7820100000000001</v>
      </c>
      <c r="X41" s="27" t="s">
        <v>186</v>
      </c>
      <c r="Y41" s="27" t="s">
        <v>208</v>
      </c>
    </row>
    <row r="42" spans="1:25" x14ac:dyDescent="0.25">
      <c r="A42" s="31" t="str">
        <f>"./" &amp; X42 &amp; "/" &amp; TRIM(Y42)</f>
        <v>./spechmmer/l1d.32kB_l1i.64kB</v>
      </c>
      <c r="B42" s="32">
        <v>1.14703</v>
      </c>
      <c r="C42" s="32">
        <v>8.7855000000000003E-2</v>
      </c>
      <c r="D42" s="32">
        <v>5.8999999999999998E-5</v>
      </c>
      <c r="E42" s="32">
        <v>7.2858000000000006E-2</v>
      </c>
      <c r="F42" s="32" t="s">
        <v>186</v>
      </c>
      <c r="G42" s="32" t="s">
        <v>191</v>
      </c>
      <c r="H42" s="32">
        <v>64</v>
      </c>
      <c r="I42" s="32">
        <v>1</v>
      </c>
      <c r="J42" s="32">
        <v>32</v>
      </c>
      <c r="K42" s="32">
        <v>64</v>
      </c>
      <c r="L42" s="32">
        <v>1</v>
      </c>
      <c r="M42" s="32">
        <v>1</v>
      </c>
      <c r="N42" s="32">
        <v>2</v>
      </c>
      <c r="O42" s="32">
        <v>512</v>
      </c>
      <c r="P42" s="39">
        <f t="shared" si="3"/>
        <v>6.8626643608114408</v>
      </c>
      <c r="Q42">
        <f t="shared" si="2"/>
        <v>1.234885</v>
      </c>
      <c r="R42">
        <v>10.7277</v>
      </c>
      <c r="S42">
        <v>3.7820100000000001</v>
      </c>
      <c r="X42" s="27" t="s">
        <v>186</v>
      </c>
      <c r="Y42" s="27" t="s">
        <v>209</v>
      </c>
    </row>
    <row r="43" spans="1:25" x14ac:dyDescent="0.25">
      <c r="A43" s="31" t="str">
        <f>"./" &amp; X43 &amp; "/" &amp; TRIM(Y43)</f>
        <v>./spechmmer/l2d_assoc.1</v>
      </c>
      <c r="B43" s="32">
        <v>1.1470199999999999</v>
      </c>
      <c r="C43" s="32">
        <v>8.7855000000000003E-2</v>
      </c>
      <c r="D43" s="32">
        <v>5.8999999999999998E-5</v>
      </c>
      <c r="E43" s="32">
        <v>7.2858000000000006E-2</v>
      </c>
      <c r="F43" s="32" t="s">
        <v>186</v>
      </c>
      <c r="G43" s="32" t="s">
        <v>194</v>
      </c>
      <c r="H43" s="32">
        <v>64</v>
      </c>
      <c r="I43" s="32">
        <v>1</v>
      </c>
      <c r="J43" s="32">
        <v>32</v>
      </c>
      <c r="K43" s="32">
        <v>32</v>
      </c>
      <c r="L43" s="32">
        <v>1</v>
      </c>
      <c r="M43" s="32">
        <v>1</v>
      </c>
      <c r="N43" s="32">
        <v>1</v>
      </c>
      <c r="O43" s="32">
        <v>512</v>
      </c>
      <c r="P43" s="39">
        <f t="shared" si="3"/>
        <v>6.8626643608114408</v>
      </c>
      <c r="Q43">
        <f t="shared" si="2"/>
        <v>1.2348749999999999</v>
      </c>
      <c r="R43">
        <v>10.7286</v>
      </c>
      <c r="S43">
        <v>3.7819699999999998</v>
      </c>
      <c r="X43" s="27" t="s">
        <v>186</v>
      </c>
      <c r="Y43" s="27" t="s">
        <v>210</v>
      </c>
    </row>
    <row r="44" spans="1:25" x14ac:dyDescent="0.25">
      <c r="A44" s="31" t="str">
        <f>"./" &amp; X44 &amp; "/" &amp; TRIM(Y44)</f>
        <v>./spechmmer/l1i_assoc.1</v>
      </c>
      <c r="B44" s="32">
        <v>1.14703</v>
      </c>
      <c r="C44" s="32">
        <v>8.7855000000000003E-2</v>
      </c>
      <c r="D44" s="32">
        <v>5.8999999999999998E-5</v>
      </c>
      <c r="E44" s="32">
        <v>7.2858000000000006E-2</v>
      </c>
      <c r="F44" s="32" t="s">
        <v>186</v>
      </c>
      <c r="G44" s="32" t="s">
        <v>193</v>
      </c>
      <c r="H44" s="32">
        <v>64</v>
      </c>
      <c r="I44" s="32">
        <v>1</v>
      </c>
      <c r="J44" s="32">
        <v>32</v>
      </c>
      <c r="K44" s="32">
        <v>32</v>
      </c>
      <c r="L44" s="32">
        <v>1</v>
      </c>
      <c r="M44" s="32">
        <v>1</v>
      </c>
      <c r="N44" s="32">
        <v>2</v>
      </c>
      <c r="O44" s="32">
        <v>512</v>
      </c>
      <c r="P44" s="39">
        <f t="shared" si="3"/>
        <v>6.8626643608114408</v>
      </c>
      <c r="Q44">
        <f t="shared" si="2"/>
        <v>1.234885</v>
      </c>
      <c r="R44">
        <v>10.7277</v>
      </c>
      <c r="S44">
        <v>3.7820100000000001</v>
      </c>
      <c r="X44" s="27" t="s">
        <v>186</v>
      </c>
      <c r="Y44" s="27" t="s">
        <v>211</v>
      </c>
    </row>
    <row r="45" spans="1:25" x14ac:dyDescent="0.25">
      <c r="A45" s="31" t="str">
        <f>"./" &amp; X45 &amp; "/" &amp; TRIM(Y45)</f>
        <v>./spechmmer/l1d.32kB_l1i.32kB</v>
      </c>
      <c r="B45" s="32">
        <v>0.74404700000000001</v>
      </c>
      <c r="C45" s="32">
        <v>8.4010000000000001E-2</v>
      </c>
      <c r="D45" s="32">
        <v>6.0000000000000002E-5</v>
      </c>
      <c r="E45" s="32">
        <v>4.9682999999999998E-2</v>
      </c>
      <c r="F45" s="32" t="s">
        <v>186</v>
      </c>
      <c r="G45" s="32" t="s">
        <v>191</v>
      </c>
      <c r="H45" s="32">
        <v>64</v>
      </c>
      <c r="I45" s="32">
        <v>1</v>
      </c>
      <c r="J45" s="32">
        <v>32</v>
      </c>
      <c r="K45" s="32">
        <v>32</v>
      </c>
      <c r="L45" s="32">
        <v>1</v>
      </c>
      <c r="M45" s="32">
        <v>1</v>
      </c>
      <c r="N45" s="32">
        <v>2</v>
      </c>
      <c r="O45" s="32">
        <v>512</v>
      </c>
      <c r="P45" s="39">
        <f t="shared" si="3"/>
        <v>10.063804520660991</v>
      </c>
      <c r="Q45">
        <f t="shared" si="2"/>
        <v>0.82805700000000004</v>
      </c>
      <c r="R45">
        <v>8.3388000000000009</v>
      </c>
      <c r="S45">
        <v>2.7579199999999999</v>
      </c>
      <c r="X45" s="27" t="s">
        <v>186</v>
      </c>
      <c r="Y45" s="27" t="s">
        <v>212</v>
      </c>
    </row>
    <row r="46" spans="1:25" x14ac:dyDescent="0.25">
      <c r="A46" s="31" t="str">
        <f>"./" &amp; X46 &amp; "/" &amp; TRIM(Y46)</f>
        <v>./spechmmer/l1i_assoc.4</v>
      </c>
      <c r="B46" s="32">
        <v>0.87417199999999995</v>
      </c>
      <c r="C46" s="32">
        <v>8.7983000000000006E-2</v>
      </c>
      <c r="D46" s="32">
        <v>5.8999999999999998E-5</v>
      </c>
      <c r="E46" s="32">
        <v>5.6766999999999998E-2</v>
      </c>
      <c r="F46" s="32" t="s">
        <v>186</v>
      </c>
      <c r="G46" s="32" t="s">
        <v>193</v>
      </c>
      <c r="H46" s="32">
        <v>64</v>
      </c>
      <c r="I46" s="32">
        <v>1</v>
      </c>
      <c r="J46" s="32">
        <v>32</v>
      </c>
      <c r="K46" s="32">
        <v>32</v>
      </c>
      <c r="L46" s="32">
        <v>1</v>
      </c>
      <c r="M46" s="32">
        <v>4</v>
      </c>
      <c r="N46" s="32">
        <v>2</v>
      </c>
      <c r="O46" s="32">
        <v>512</v>
      </c>
      <c r="P46" s="39">
        <f t="shared" si="3"/>
        <v>8.8079341871157535</v>
      </c>
      <c r="Q46">
        <f t="shared" si="2"/>
        <v>0.96215499999999998</v>
      </c>
      <c r="R46">
        <v>9.7305700000000002</v>
      </c>
      <c r="S46">
        <v>3.4842</v>
      </c>
      <c r="X46" s="27" t="s">
        <v>186</v>
      </c>
      <c r="Y46" s="27" t="s">
        <v>213</v>
      </c>
    </row>
    <row r="47" spans="1:25" x14ac:dyDescent="0.25">
      <c r="A47" s="31" t="str">
        <f>"./" &amp; X47 &amp; "/" &amp; TRIM(Y47)</f>
        <v>./spechmmer/l1d.128kB_l1i.16kB</v>
      </c>
      <c r="B47" s="32">
        <v>1.4214199999999999</v>
      </c>
      <c r="C47" s="32">
        <v>0.160857</v>
      </c>
      <c r="D47" s="32">
        <v>6.0000000000000002E-5</v>
      </c>
      <c r="E47" s="32">
        <v>9.4936999999999994E-2</v>
      </c>
      <c r="F47" s="32" t="s">
        <v>186</v>
      </c>
      <c r="G47" s="32" t="s">
        <v>191</v>
      </c>
      <c r="H47" s="32">
        <v>64</v>
      </c>
      <c r="I47" s="32">
        <v>1</v>
      </c>
      <c r="J47" s="32">
        <v>128</v>
      </c>
      <c r="K47" s="32">
        <v>16</v>
      </c>
      <c r="L47" s="32">
        <v>1</v>
      </c>
      <c r="M47" s="32">
        <v>1</v>
      </c>
      <c r="N47" s="32">
        <v>2</v>
      </c>
      <c r="O47" s="32">
        <v>512</v>
      </c>
      <c r="P47" s="39">
        <f t="shared" si="3"/>
        <v>5.266650515605086</v>
      </c>
      <c r="Q47">
        <f t="shared" si="2"/>
        <v>1.5822769999999999</v>
      </c>
      <c r="R47">
        <v>13.480399999999999</v>
      </c>
      <c r="S47">
        <v>4.1266699999999998</v>
      </c>
      <c r="X47" s="27" t="s">
        <v>186</v>
      </c>
      <c r="Y47" s="27" t="s">
        <v>214</v>
      </c>
    </row>
    <row r="48" spans="1:25" x14ac:dyDescent="0.25">
      <c r="A48" s="31" t="str">
        <f>"./" &amp; X48 &amp; "/" &amp; TRIM(Y48)</f>
        <v>./spechmmer/l1d_assoc.2</v>
      </c>
      <c r="B48" s="32">
        <v>1.1473599999999999</v>
      </c>
      <c r="C48" s="32">
        <v>8.9768000000000001E-2</v>
      </c>
      <c r="D48" s="32">
        <v>5.8E-5</v>
      </c>
      <c r="E48" s="32">
        <v>7.1752999999999997E-2</v>
      </c>
      <c r="F48" s="32" t="s">
        <v>186</v>
      </c>
      <c r="G48" s="32" t="s">
        <v>192</v>
      </c>
      <c r="H48" s="32">
        <v>64</v>
      </c>
      <c r="I48" s="32">
        <v>1</v>
      </c>
      <c r="J48" s="32">
        <v>32</v>
      </c>
      <c r="K48" s="32">
        <v>32</v>
      </c>
      <c r="L48" s="32">
        <v>2</v>
      </c>
      <c r="M48" s="32">
        <v>1</v>
      </c>
      <c r="N48" s="32">
        <v>2</v>
      </c>
      <c r="O48" s="32">
        <v>512</v>
      </c>
      <c r="P48" s="39">
        <f t="shared" si="3"/>
        <v>6.9683497554109239</v>
      </c>
      <c r="Q48">
        <f t="shared" si="2"/>
        <v>1.237128</v>
      </c>
      <c r="R48">
        <v>10.764200000000001</v>
      </c>
      <c r="S48">
        <v>3.8013499999999998</v>
      </c>
      <c r="X48" s="27" t="s">
        <v>186</v>
      </c>
      <c r="Y48" s="27" t="s">
        <v>215</v>
      </c>
    </row>
    <row r="49" spans="1:25" x14ac:dyDescent="0.25">
      <c r="A49" s="31" t="str">
        <f>"./" &amp; X49 &amp; "/" &amp; TRIM(Y49)</f>
        <v>./spechmmer/l1d.128kB_l1i.128kB</v>
      </c>
      <c r="B49" s="32">
        <v>2.1138300000000001</v>
      </c>
      <c r="C49" s="32">
        <v>0.169988</v>
      </c>
      <c r="D49" s="32">
        <v>5.8E-5</v>
      </c>
      <c r="E49" s="32">
        <v>0.132461</v>
      </c>
      <c r="F49" s="32" t="s">
        <v>186</v>
      </c>
      <c r="G49" s="32" t="s">
        <v>191</v>
      </c>
      <c r="H49" s="32">
        <v>64</v>
      </c>
      <c r="I49" s="32">
        <v>1</v>
      </c>
      <c r="J49" s="32">
        <v>128</v>
      </c>
      <c r="K49" s="32">
        <v>128</v>
      </c>
      <c r="L49" s="32">
        <v>1</v>
      </c>
      <c r="M49" s="32">
        <v>1</v>
      </c>
      <c r="N49" s="32">
        <v>2</v>
      </c>
      <c r="O49" s="32">
        <v>512</v>
      </c>
      <c r="P49" s="39">
        <f t="shared" si="3"/>
        <v>3.7746959482413693</v>
      </c>
      <c r="Q49">
        <f t="shared" si="2"/>
        <v>2.2838180000000001</v>
      </c>
      <c r="R49">
        <v>18.2455</v>
      </c>
      <c r="S49">
        <v>5.70181</v>
      </c>
      <c r="X49" s="27" t="s">
        <v>186</v>
      </c>
      <c r="Y49" s="27" t="s">
        <v>216</v>
      </c>
    </row>
    <row r="50" spans="1:25" x14ac:dyDescent="0.25">
      <c r="A50" s="31" t="str">
        <f>"./" &amp; X50 &amp; "/" &amp; TRIM(Y50)</f>
        <v>./spechmmer/l2_size.2MB</v>
      </c>
      <c r="B50" s="32">
        <v>1.15062</v>
      </c>
      <c r="C50" s="32">
        <v>9.0008000000000005E-2</v>
      </c>
      <c r="D50" s="32">
        <v>5.8999999999999998E-5</v>
      </c>
      <c r="E50" s="32">
        <v>7.3196999999999998E-2</v>
      </c>
      <c r="F50" s="32" t="s">
        <v>186</v>
      </c>
      <c r="G50" s="32" t="s">
        <v>184</v>
      </c>
      <c r="H50" s="32">
        <v>64</v>
      </c>
      <c r="I50" s="32">
        <v>1</v>
      </c>
      <c r="J50" s="32">
        <v>32</v>
      </c>
      <c r="K50" s="32">
        <v>32</v>
      </c>
      <c r="L50" s="32">
        <v>1</v>
      </c>
      <c r="M50" s="32">
        <v>1</v>
      </c>
      <c r="N50" s="32">
        <v>2</v>
      </c>
      <c r="O50" s="32">
        <v>2048</v>
      </c>
      <c r="P50" s="39">
        <f t="shared" si="3"/>
        <v>6.8308810470374475</v>
      </c>
      <c r="Q50">
        <f t="shared" si="2"/>
        <v>1.2406280000000001</v>
      </c>
      <c r="R50">
        <v>16.329799999999999</v>
      </c>
      <c r="S50">
        <v>3.9575200000000001</v>
      </c>
      <c r="X50" s="27" t="s">
        <v>186</v>
      </c>
      <c r="Y50" s="27" t="s">
        <v>217</v>
      </c>
    </row>
    <row r="51" spans="1:25" x14ac:dyDescent="0.25">
      <c r="A51" s="31" t="str">
        <f>"./" &amp; X51 &amp; "/" &amp; TRIM(Y51)</f>
        <v>./spechmmer/l1d_assoc.1</v>
      </c>
      <c r="B51" s="32">
        <v>1.14703</v>
      </c>
      <c r="C51" s="32">
        <v>8.7855000000000003E-2</v>
      </c>
      <c r="D51" s="32">
        <v>5.8999999999999998E-5</v>
      </c>
      <c r="E51" s="32">
        <v>7.2858000000000006E-2</v>
      </c>
      <c r="F51" s="32" t="s">
        <v>186</v>
      </c>
      <c r="G51" s="32" t="s">
        <v>192</v>
      </c>
      <c r="H51" s="32">
        <v>64</v>
      </c>
      <c r="I51" s="32">
        <v>1</v>
      </c>
      <c r="J51" s="32">
        <v>32</v>
      </c>
      <c r="K51" s="32">
        <v>32</v>
      </c>
      <c r="L51" s="32">
        <v>1</v>
      </c>
      <c r="M51" s="32">
        <v>1</v>
      </c>
      <c r="N51" s="32">
        <v>2</v>
      </c>
      <c r="O51" s="32">
        <v>512</v>
      </c>
      <c r="P51" s="39">
        <f t="shared" si="3"/>
        <v>6.8626643608114408</v>
      </c>
      <c r="Q51">
        <f t="shared" si="2"/>
        <v>1.234885</v>
      </c>
      <c r="R51">
        <v>10.7277</v>
      </c>
      <c r="S51">
        <v>3.7820100000000001</v>
      </c>
      <c r="X51" s="27" t="s">
        <v>186</v>
      </c>
      <c r="Y51" s="27" t="s">
        <v>218</v>
      </c>
    </row>
    <row r="52" spans="1:25" x14ac:dyDescent="0.25">
      <c r="A52" s="31" t="str">
        <f>"./" &amp; X52 &amp; "/" &amp; TRIM(Y52)</f>
        <v>./spechmmer/l1d.32kB_l1i.16kB</v>
      </c>
      <c r="B52" s="32">
        <v>0.73653299999999999</v>
      </c>
      <c r="C52" s="32">
        <v>8.4698999999999997E-2</v>
      </c>
      <c r="D52" s="32">
        <v>6.0999999999999999E-5</v>
      </c>
      <c r="E52" s="32">
        <v>5.0095000000000001E-2</v>
      </c>
      <c r="F52" s="32" t="s">
        <v>186</v>
      </c>
      <c r="G52" s="32" t="s">
        <v>191</v>
      </c>
      <c r="H52" s="32">
        <v>64</v>
      </c>
      <c r="I52" s="32">
        <v>1</v>
      </c>
      <c r="J52" s="32">
        <v>32</v>
      </c>
      <c r="K52" s="32">
        <v>16</v>
      </c>
      <c r="L52" s="32">
        <v>1</v>
      </c>
      <c r="M52" s="32">
        <v>1</v>
      </c>
      <c r="N52" s="32">
        <v>2</v>
      </c>
      <c r="O52" s="32">
        <v>512</v>
      </c>
      <c r="P52" s="39">
        <f t="shared" si="3"/>
        <v>9.9810360315400732</v>
      </c>
      <c r="Q52">
        <f t="shared" si="2"/>
        <v>0.82123199999999996</v>
      </c>
      <c r="R52">
        <v>8.2911800000000007</v>
      </c>
      <c r="S52">
        <v>2.7398099999999999</v>
      </c>
      <c r="X52" s="27" t="s">
        <v>186</v>
      </c>
      <c r="Y52" s="27" t="s">
        <v>219</v>
      </c>
    </row>
    <row r="53" spans="1:25" x14ac:dyDescent="0.25">
      <c r="A53" s="31" t="str">
        <f>"./" &amp; X53 &amp; "/" &amp; TRIM(Y53)</f>
        <v>./spechmmer/l1d.64kB_l1i.32kB</v>
      </c>
      <c r="B53" s="32">
        <v>1.14703</v>
      </c>
      <c r="C53" s="32">
        <v>0.14014099999999999</v>
      </c>
      <c r="D53" s="32">
        <v>5.8999999999999998E-5</v>
      </c>
      <c r="E53" s="32">
        <v>7.5942999999999997E-2</v>
      </c>
      <c r="F53" s="32" t="s">
        <v>186</v>
      </c>
      <c r="G53" s="32" t="s">
        <v>191</v>
      </c>
      <c r="H53" s="32">
        <v>64</v>
      </c>
      <c r="I53" s="32">
        <v>1</v>
      </c>
      <c r="J53" s="32">
        <v>64</v>
      </c>
      <c r="K53" s="32">
        <v>32</v>
      </c>
      <c r="L53" s="32">
        <v>1</v>
      </c>
      <c r="M53" s="32">
        <v>1</v>
      </c>
      <c r="N53" s="32">
        <v>2</v>
      </c>
      <c r="O53" s="32">
        <v>512</v>
      </c>
      <c r="P53" s="39">
        <f t="shared" si="3"/>
        <v>6.5838852823828402</v>
      </c>
      <c r="Q53">
        <f t="shared" si="2"/>
        <v>1.2871710000000001</v>
      </c>
      <c r="R53">
        <v>10.9665</v>
      </c>
      <c r="S53">
        <v>3.6544699999999999</v>
      </c>
      <c r="X53" s="27" t="s">
        <v>186</v>
      </c>
      <c r="Y53" s="27" t="s">
        <v>220</v>
      </c>
    </row>
    <row r="54" spans="1:25" x14ac:dyDescent="0.25">
      <c r="A54" s="31" t="str">
        <f>"./" &amp; X54 &amp; "/" &amp; TRIM(Y54)</f>
        <v>./spechmmer/l1d.64kB_l1i.16kB</v>
      </c>
      <c r="B54" s="32">
        <v>1.13951</v>
      </c>
      <c r="C54" s="32">
        <v>0.13935800000000001</v>
      </c>
      <c r="D54" s="32">
        <v>6.0000000000000002E-5</v>
      </c>
      <c r="E54" s="32">
        <v>7.6731999999999995E-2</v>
      </c>
      <c r="F54" s="32" t="s">
        <v>186</v>
      </c>
      <c r="G54" s="32" t="s">
        <v>191</v>
      </c>
      <c r="H54" s="32">
        <v>64</v>
      </c>
      <c r="I54" s="32">
        <v>1</v>
      </c>
      <c r="J54" s="32">
        <v>64</v>
      </c>
      <c r="K54" s="32">
        <v>16</v>
      </c>
      <c r="L54" s="32">
        <v>1</v>
      </c>
      <c r="M54" s="32">
        <v>1</v>
      </c>
      <c r="N54" s="32">
        <v>2</v>
      </c>
      <c r="O54" s="32">
        <v>512</v>
      </c>
      <c r="P54" s="39">
        <f t="shared" si="3"/>
        <v>6.5161862065370384</v>
      </c>
      <c r="Q54">
        <f t="shared" si="2"/>
        <v>1.2788680000000001</v>
      </c>
      <c r="R54">
        <v>10.918900000000001</v>
      </c>
      <c r="S54">
        <v>3.6363699999999999</v>
      </c>
      <c r="X54" s="27" t="s">
        <v>186</v>
      </c>
      <c r="Y54" s="27" t="s">
        <v>221</v>
      </c>
    </row>
    <row r="55" spans="1:25" x14ac:dyDescent="0.25">
      <c r="A55" s="31" t="str">
        <f>"./" &amp; X55 &amp; "/" &amp; TRIM(Y55)</f>
        <v>./spechmmer/l1d.32kB_l1i.128kB</v>
      </c>
      <c r="B55" s="32">
        <v>1.4289400000000001</v>
      </c>
      <c r="C55" s="32">
        <v>8.9607999999999993E-2</v>
      </c>
      <c r="D55" s="32">
        <v>5.8999999999999998E-5</v>
      </c>
      <c r="E55" s="32">
        <v>8.9593999999999993E-2</v>
      </c>
      <c r="F55" s="32" t="s">
        <v>186</v>
      </c>
      <c r="G55" s="32" t="s">
        <v>191</v>
      </c>
      <c r="H55" s="32">
        <v>64</v>
      </c>
      <c r="I55" s="32">
        <v>1</v>
      </c>
      <c r="J55" s="32">
        <v>32</v>
      </c>
      <c r="K55" s="32">
        <v>128</v>
      </c>
      <c r="L55" s="32">
        <v>1</v>
      </c>
      <c r="M55" s="32">
        <v>1</v>
      </c>
      <c r="N55" s="32">
        <v>2</v>
      </c>
      <c r="O55" s="32">
        <v>512</v>
      </c>
      <c r="P55" s="39">
        <f t="shared" si="3"/>
        <v>5.5807308525124455</v>
      </c>
      <c r="Q55">
        <f t="shared" si="2"/>
        <v>1.518548</v>
      </c>
      <c r="R55">
        <v>13.0563</v>
      </c>
      <c r="S55">
        <v>4.31494</v>
      </c>
      <c r="X55" s="27" t="s">
        <v>186</v>
      </c>
      <c r="Y55" s="27" t="s">
        <v>222</v>
      </c>
    </row>
    <row r="56" spans="1:25" x14ac:dyDescent="0.25">
      <c r="A56" s="31" t="str">
        <f>"./" &amp; X56 &amp; "/" &amp; TRIM(Y56)</f>
        <v>./spechmmer/l2d_assoc.2</v>
      </c>
      <c r="B56" s="32">
        <v>1.14703</v>
      </c>
      <c r="C56" s="32">
        <v>8.7855000000000003E-2</v>
      </c>
      <c r="D56" s="32">
        <v>5.8999999999999998E-5</v>
      </c>
      <c r="E56" s="32">
        <v>7.2858000000000006E-2</v>
      </c>
      <c r="F56" s="32" t="s">
        <v>186</v>
      </c>
      <c r="G56" s="32" t="s">
        <v>194</v>
      </c>
      <c r="H56" s="32">
        <v>64</v>
      </c>
      <c r="I56" s="32">
        <v>1</v>
      </c>
      <c r="J56" s="32">
        <v>32</v>
      </c>
      <c r="K56" s="32">
        <v>32</v>
      </c>
      <c r="L56" s="32">
        <v>1</v>
      </c>
      <c r="M56" s="32">
        <v>1</v>
      </c>
      <c r="N56" s="32">
        <v>2</v>
      </c>
      <c r="O56" s="32">
        <v>512</v>
      </c>
      <c r="P56" s="39">
        <f t="shared" si="3"/>
        <v>6.8626643608114408</v>
      </c>
      <c r="Q56">
        <f t="shared" si="2"/>
        <v>1.234885</v>
      </c>
      <c r="R56">
        <v>10.7277</v>
      </c>
      <c r="S56">
        <v>3.7820100000000001</v>
      </c>
      <c r="X56" s="27" t="s">
        <v>186</v>
      </c>
      <c r="Y56" s="27" t="s">
        <v>223</v>
      </c>
    </row>
    <row r="57" spans="1:25" x14ac:dyDescent="0.25">
      <c r="A57" s="31" t="str">
        <f>"./" &amp; X57 &amp; "/" &amp; TRIM(Y57)</f>
        <v>./spechmmer/l1d_assoc.4</v>
      </c>
      <c r="B57" s="32">
        <v>1.22661</v>
      </c>
      <c r="C57" s="32">
        <v>0.13103100000000001</v>
      </c>
      <c r="D57" s="32">
        <v>5.8E-5</v>
      </c>
      <c r="E57" s="32">
        <v>7.8742999999999994E-2</v>
      </c>
      <c r="F57" s="32" t="s">
        <v>186</v>
      </c>
      <c r="G57" s="32" t="s">
        <v>192</v>
      </c>
      <c r="H57" s="32">
        <v>64</v>
      </c>
      <c r="I57" s="32">
        <v>1</v>
      </c>
      <c r="J57" s="32">
        <v>32</v>
      </c>
      <c r="K57" s="32">
        <v>32</v>
      </c>
      <c r="L57" s="32">
        <v>4</v>
      </c>
      <c r="M57" s="32">
        <v>1</v>
      </c>
      <c r="N57" s="32">
        <v>2</v>
      </c>
      <c r="O57" s="32">
        <v>512</v>
      </c>
      <c r="P57" s="39">
        <f t="shared" si="3"/>
        <v>6.3497707732750852</v>
      </c>
      <c r="Q57">
        <f t="shared" si="2"/>
        <v>1.3576410000000001</v>
      </c>
      <c r="R57">
        <v>11.603899999999999</v>
      </c>
      <c r="S57">
        <v>4.2146999999999997</v>
      </c>
      <c r="X57" s="27" t="s">
        <v>186</v>
      </c>
      <c r="Y57" s="27" t="s">
        <v>224</v>
      </c>
    </row>
    <row r="58" spans="1:25" x14ac:dyDescent="0.25">
      <c r="A58" s="31" t="str">
        <f>"./" &amp; X58 &amp; "/" &amp; TRIM(Y58)</f>
        <v>./spechmmer/cacheline.128</v>
      </c>
      <c r="B58" s="32">
        <v>1.1059399999999999</v>
      </c>
      <c r="C58" s="32">
        <v>0.121987</v>
      </c>
      <c r="D58" s="32">
        <v>5.0000000000000002E-5</v>
      </c>
      <c r="E58" s="32">
        <v>6.1395999999999999E-2</v>
      </c>
      <c r="F58" s="32" t="s">
        <v>186</v>
      </c>
      <c r="G58" s="32" t="s">
        <v>190</v>
      </c>
      <c r="H58" s="32">
        <v>128</v>
      </c>
      <c r="I58" s="32">
        <v>1</v>
      </c>
      <c r="J58" s="32">
        <v>32</v>
      </c>
      <c r="K58" s="32">
        <v>32</v>
      </c>
      <c r="L58" s="32">
        <v>1</v>
      </c>
      <c r="M58" s="32">
        <v>1</v>
      </c>
      <c r="N58" s="32">
        <v>2</v>
      </c>
      <c r="O58" s="32">
        <v>512</v>
      </c>
      <c r="P58" s="39">
        <f t="shared" si="3"/>
        <v>8.1438530197406998</v>
      </c>
      <c r="Q58">
        <f t="shared" si="2"/>
        <v>1.227927</v>
      </c>
      <c r="R58">
        <v>27.278600000000001</v>
      </c>
      <c r="S58">
        <v>8.1870999999999992</v>
      </c>
      <c r="X58" s="27" t="s">
        <v>186</v>
      </c>
      <c r="Y58" s="27" t="s">
        <v>225</v>
      </c>
    </row>
    <row r="59" spans="1:25" x14ac:dyDescent="0.25">
      <c r="A59" s="31" t="str">
        <f>"./" &amp; X59 &amp; "/" &amp; TRIM(Y59)</f>
        <v>./spechmmer/l1d.16kB_l1i.16kB</v>
      </c>
      <c r="B59" s="32">
        <v>0.72901800000000005</v>
      </c>
      <c r="C59" s="32">
        <v>8.4891999999999995E-2</v>
      </c>
      <c r="D59" s="32">
        <v>6.0999999999999999E-5</v>
      </c>
      <c r="E59" s="32">
        <v>4.9648999999999999E-2</v>
      </c>
      <c r="F59" s="32" t="s">
        <v>186</v>
      </c>
      <c r="G59" s="32" t="s">
        <v>191</v>
      </c>
      <c r="H59" s="32">
        <v>64</v>
      </c>
      <c r="I59" s="32">
        <v>1</v>
      </c>
      <c r="J59" s="32">
        <v>16</v>
      </c>
      <c r="K59" s="32">
        <v>16</v>
      </c>
      <c r="L59" s="32">
        <v>1</v>
      </c>
      <c r="M59" s="32">
        <v>1</v>
      </c>
      <c r="N59" s="32">
        <v>2</v>
      </c>
      <c r="O59" s="32">
        <v>512</v>
      </c>
      <c r="P59" s="39">
        <f t="shared" si="3"/>
        <v>10.070696287941349</v>
      </c>
      <c r="Q59">
        <f t="shared" si="2"/>
        <v>0.81391000000000002</v>
      </c>
      <c r="R59">
        <v>8.2387999999999995</v>
      </c>
      <c r="S59">
        <v>2.7204899999999999</v>
      </c>
      <c r="X59" s="27" t="s">
        <v>186</v>
      </c>
      <c r="Y59" s="27" t="s">
        <v>226</v>
      </c>
    </row>
    <row r="60" spans="1:25" x14ac:dyDescent="0.25">
      <c r="A60" s="31" t="str">
        <f>"./" &amp; X60 &amp; "/" &amp; TRIM(Y60)</f>
        <v>./spechmmer/l2_size.512kB</v>
      </c>
      <c r="B60" s="32">
        <v>1.14703</v>
      </c>
      <c r="C60" s="32">
        <v>8.7855000000000003E-2</v>
      </c>
      <c r="D60" s="32">
        <v>5.8999999999999998E-5</v>
      </c>
      <c r="E60" s="32">
        <v>7.2858000000000006E-2</v>
      </c>
      <c r="F60" s="32" t="s">
        <v>186</v>
      </c>
      <c r="G60" s="32" t="s">
        <v>184</v>
      </c>
      <c r="H60" s="32">
        <v>64</v>
      </c>
      <c r="I60" s="32">
        <v>1</v>
      </c>
      <c r="J60" s="32">
        <v>32</v>
      </c>
      <c r="K60" s="32">
        <v>32</v>
      </c>
      <c r="L60" s="32">
        <v>1</v>
      </c>
      <c r="M60" s="32">
        <v>1</v>
      </c>
      <c r="N60" s="32">
        <v>2</v>
      </c>
      <c r="O60" s="32">
        <v>512</v>
      </c>
      <c r="P60" s="39">
        <f t="shared" si="3"/>
        <v>6.8626643608114408</v>
      </c>
      <c r="Q60">
        <f t="shared" si="2"/>
        <v>1.234885</v>
      </c>
      <c r="R60">
        <v>10.7277</v>
      </c>
      <c r="S60">
        <v>3.7820100000000001</v>
      </c>
      <c r="X60" s="27" t="s">
        <v>186</v>
      </c>
      <c r="Y60" s="27" t="s">
        <v>227</v>
      </c>
    </row>
    <row r="61" spans="1:25" x14ac:dyDescent="0.25">
      <c r="A61" s="31" t="str">
        <f>"./" &amp; X61 &amp; "/" &amp; TRIM(Y61)</f>
        <v>./spechmmer/cacheline.64</v>
      </c>
      <c r="B61" s="32">
        <v>1.14703</v>
      </c>
      <c r="C61" s="32">
        <v>8.7855000000000003E-2</v>
      </c>
      <c r="D61" s="32">
        <v>5.8999999999999998E-5</v>
      </c>
      <c r="E61" s="32">
        <v>7.2858000000000006E-2</v>
      </c>
      <c r="F61" s="32" t="s">
        <v>186</v>
      </c>
      <c r="G61" s="32" t="s">
        <v>190</v>
      </c>
      <c r="H61" s="32">
        <v>64</v>
      </c>
      <c r="I61" s="32">
        <v>1</v>
      </c>
      <c r="J61" s="32">
        <v>32</v>
      </c>
      <c r="K61" s="32">
        <v>32</v>
      </c>
      <c r="L61" s="32">
        <v>1</v>
      </c>
      <c r="M61" s="32">
        <v>1</v>
      </c>
      <c r="N61" s="32">
        <v>2</v>
      </c>
      <c r="O61" s="32">
        <v>512</v>
      </c>
      <c r="P61" s="39">
        <f t="shared" si="3"/>
        <v>6.8626643608114408</v>
      </c>
      <c r="Q61">
        <f t="shared" si="2"/>
        <v>1.234885</v>
      </c>
      <c r="R61">
        <v>10.7277</v>
      </c>
      <c r="S61">
        <v>3.7820100000000001</v>
      </c>
      <c r="X61" s="27" t="s">
        <v>186</v>
      </c>
      <c r="Y61" s="27" t="s">
        <v>228</v>
      </c>
    </row>
    <row r="62" spans="1:25" x14ac:dyDescent="0.25">
      <c r="A62" s="31" t="str">
        <f>"./" &amp; X62 &amp; "/" &amp; TRIM(Y62)</f>
        <v>./spechmmer/l1d.128kB_l1i.32kB</v>
      </c>
      <c r="B62" s="32">
        <v>1.4289400000000001</v>
      </c>
      <c r="C62" s="32">
        <v>0.16298799999999999</v>
      </c>
      <c r="D62" s="32">
        <v>5.8999999999999998E-5</v>
      </c>
      <c r="E62" s="32">
        <v>9.3923999999999994E-2</v>
      </c>
      <c r="F62" s="32" t="s">
        <v>186</v>
      </c>
      <c r="G62" s="32" t="s">
        <v>191</v>
      </c>
      <c r="H62" s="32">
        <v>64</v>
      </c>
      <c r="I62" s="32">
        <v>1</v>
      </c>
      <c r="J62" s="32">
        <v>128</v>
      </c>
      <c r="K62" s="32">
        <v>32</v>
      </c>
      <c r="L62" s="32">
        <v>1</v>
      </c>
      <c r="M62" s="32">
        <v>1</v>
      </c>
      <c r="N62" s="32">
        <v>2</v>
      </c>
      <c r="O62" s="32">
        <v>512</v>
      </c>
      <c r="P62" s="39">
        <f t="shared" si="3"/>
        <v>5.3234530045568764</v>
      </c>
      <c r="Q62">
        <f t="shared" si="2"/>
        <v>1.591928</v>
      </c>
      <c r="R62">
        <v>13.528</v>
      </c>
      <c r="S62">
        <v>4.1447799999999999</v>
      </c>
      <c r="X62" s="27" t="s">
        <v>186</v>
      </c>
      <c r="Y62" s="27" t="s">
        <v>229</v>
      </c>
    </row>
    <row r="63" spans="1:25" x14ac:dyDescent="0.25">
      <c r="A63" s="31" t="str">
        <f>"./" &amp; X63 &amp; "/" &amp; TRIM(Y63)</f>
        <v>./spechmmer/l1d.16kB_l1i.64kB</v>
      </c>
      <c r="B63" s="32">
        <v>1.13951</v>
      </c>
      <c r="C63" s="32">
        <v>8.7309999999999999E-2</v>
      </c>
      <c r="D63" s="32">
        <v>6.0000000000000002E-5</v>
      </c>
      <c r="E63" s="32">
        <v>7.3608999999999994E-2</v>
      </c>
      <c r="F63" s="32" t="s">
        <v>186</v>
      </c>
      <c r="G63" s="32" t="s">
        <v>191</v>
      </c>
      <c r="H63" s="32">
        <v>64</v>
      </c>
      <c r="I63" s="32">
        <v>1</v>
      </c>
      <c r="J63" s="32">
        <v>16</v>
      </c>
      <c r="K63" s="32">
        <v>64</v>
      </c>
      <c r="L63" s="32">
        <v>1</v>
      </c>
      <c r="M63" s="32">
        <v>1</v>
      </c>
      <c r="N63" s="32">
        <v>2</v>
      </c>
      <c r="O63" s="32">
        <v>512</v>
      </c>
      <c r="P63" s="39">
        <f t="shared" si="3"/>
        <v>6.7926476381964171</v>
      </c>
      <c r="Q63">
        <f t="shared" si="2"/>
        <v>1.22682</v>
      </c>
      <c r="R63">
        <v>10.6753</v>
      </c>
      <c r="S63">
        <v>3.7626900000000001</v>
      </c>
      <c r="X63" s="27" t="s">
        <v>186</v>
      </c>
      <c r="Y63" s="27" t="s">
        <v>230</v>
      </c>
    </row>
    <row r="64" spans="1:25" x14ac:dyDescent="0.25">
      <c r="A64" s="31" t="str">
        <f>"./" &amp; X64 &amp; "/" &amp; TRIM(Y64)</f>
        <v>./spechmmer/cacheline.32</v>
      </c>
      <c r="B64" s="32">
        <v>0.84024299999999996</v>
      </c>
      <c r="C64" s="32">
        <v>7.4321999999999999E-2</v>
      </c>
      <c r="D64" s="32">
        <v>8.1000000000000004E-5</v>
      </c>
      <c r="E64" s="32">
        <v>7.4079999999999993E-2</v>
      </c>
      <c r="F64" s="32" t="s">
        <v>186</v>
      </c>
      <c r="G64" s="32" t="s">
        <v>190</v>
      </c>
      <c r="H64" s="32">
        <v>32</v>
      </c>
      <c r="I64" s="32">
        <v>1</v>
      </c>
      <c r="J64" s="32">
        <v>32</v>
      </c>
      <c r="K64" s="32">
        <v>32</v>
      </c>
      <c r="L64" s="32">
        <v>1</v>
      </c>
      <c r="M64" s="32">
        <v>1</v>
      </c>
      <c r="N64" s="32">
        <v>2</v>
      </c>
      <c r="O64" s="32">
        <v>512</v>
      </c>
      <c r="P64" s="39">
        <f t="shared" si="3"/>
        <v>6.7494600431965441</v>
      </c>
      <c r="Q64">
        <f t="shared" si="2"/>
        <v>0.91456499999999996</v>
      </c>
      <c r="R64">
        <v>8.6724599999999992</v>
      </c>
      <c r="S64">
        <v>2.17171</v>
      </c>
      <c r="X64" s="27" t="s">
        <v>186</v>
      </c>
      <c r="Y64" s="27" t="s">
        <v>231</v>
      </c>
    </row>
    <row r="65" spans="1:25" x14ac:dyDescent="0.25">
      <c r="A65" s="31" t="str">
        <f>"./" &amp; X65 &amp; "/" &amp; TRIM(Y65)</f>
        <v>./spechmmer/l1d.64kB_l1i.64kB</v>
      </c>
      <c r="B65" s="32">
        <v>1.55</v>
      </c>
      <c r="C65" s="32">
        <v>0.14433199999999999</v>
      </c>
      <c r="D65" s="32">
        <v>5.8E-5</v>
      </c>
      <c r="E65" s="32">
        <v>9.8270999999999997E-2</v>
      </c>
      <c r="F65" s="32" t="s">
        <v>186</v>
      </c>
      <c r="G65" s="32" t="s">
        <v>191</v>
      </c>
      <c r="H65" s="32">
        <v>64</v>
      </c>
      <c r="I65" s="32">
        <v>1</v>
      </c>
      <c r="J65" s="32">
        <v>64</v>
      </c>
      <c r="K65" s="32">
        <v>64</v>
      </c>
      <c r="L65" s="32">
        <v>1</v>
      </c>
      <c r="M65" s="32">
        <v>1</v>
      </c>
      <c r="N65" s="32">
        <v>2</v>
      </c>
      <c r="O65" s="32">
        <v>512</v>
      </c>
      <c r="P65" s="39">
        <f t="shared" si="3"/>
        <v>5.0879710189170764</v>
      </c>
      <c r="Q65">
        <f t="shared" si="2"/>
        <v>1.6943319999999999</v>
      </c>
      <c r="R65">
        <v>13.355399999999999</v>
      </c>
      <c r="S65">
        <v>4.6785699999999997</v>
      </c>
      <c r="X65" s="27" t="s">
        <v>186</v>
      </c>
      <c r="Y65" s="27" t="s">
        <v>232</v>
      </c>
    </row>
    <row r="66" spans="1:25" x14ac:dyDescent="0.25">
      <c r="A66" s="31" t="str">
        <f>"./" &amp; X66 &amp; "/" &amp; TRIM(Y66)</f>
        <v>./spechmmer/l1d.128kB_l1i.64kB</v>
      </c>
      <c r="B66" s="32">
        <v>1.83192</v>
      </c>
      <c r="C66" s="32">
        <v>0.16806599999999999</v>
      </c>
      <c r="D66" s="32">
        <v>5.8E-5</v>
      </c>
      <c r="E66" s="32">
        <v>0.115999</v>
      </c>
      <c r="F66" s="32" t="s">
        <v>186</v>
      </c>
      <c r="G66" s="32" t="s">
        <v>191</v>
      </c>
      <c r="H66" s="32">
        <v>64</v>
      </c>
      <c r="I66" s="32">
        <v>1</v>
      </c>
      <c r="J66" s="32">
        <v>128</v>
      </c>
      <c r="K66" s="32">
        <v>64</v>
      </c>
      <c r="L66" s="32">
        <v>1</v>
      </c>
      <c r="M66" s="32">
        <v>1</v>
      </c>
      <c r="N66" s="32">
        <v>2</v>
      </c>
      <c r="O66" s="32">
        <v>512</v>
      </c>
      <c r="P66" s="39">
        <f t="shared" si="3"/>
        <v>4.3103819860516035</v>
      </c>
      <c r="Q66">
        <f t="shared" si="2"/>
        <v>1.999986</v>
      </c>
      <c r="R66">
        <v>15.9169</v>
      </c>
      <c r="S66">
        <v>5.1688700000000001</v>
      </c>
      <c r="X66" s="27" t="s">
        <v>186</v>
      </c>
      <c r="Y66" s="27" t="s">
        <v>233</v>
      </c>
    </row>
    <row r="67" spans="1:25" x14ac:dyDescent="0.25">
      <c r="A67" s="31" t="str">
        <f>"./" &amp; X67 &amp; "/" &amp; TRIM(Y67)</f>
        <v>./spechmmer/l2_size.1MB</v>
      </c>
      <c r="B67" s="32">
        <v>1.14855</v>
      </c>
      <c r="C67" s="32">
        <v>8.8681999999999997E-2</v>
      </c>
      <c r="D67" s="32">
        <v>5.8999999999999998E-5</v>
      </c>
      <c r="E67" s="32">
        <v>7.2997000000000006E-2</v>
      </c>
      <c r="F67" s="32" t="s">
        <v>186</v>
      </c>
      <c r="G67" s="32" t="s">
        <v>184</v>
      </c>
      <c r="H67" s="32">
        <v>64</v>
      </c>
      <c r="I67" s="32">
        <v>1</v>
      </c>
      <c r="J67" s="32">
        <v>32</v>
      </c>
      <c r="K67" s="32">
        <v>32</v>
      </c>
      <c r="L67" s="32">
        <v>1</v>
      </c>
      <c r="M67" s="32">
        <v>1</v>
      </c>
      <c r="N67" s="32">
        <v>2</v>
      </c>
      <c r="O67" s="32">
        <v>1024</v>
      </c>
      <c r="P67" s="39">
        <f t="shared" si="3"/>
        <v>6.8495965587626886</v>
      </c>
      <c r="Q67">
        <f t="shared" ref="Q67:Q130" si="4">B67+C67</f>
        <v>1.2372319999999999</v>
      </c>
      <c r="R67">
        <v>12.81</v>
      </c>
      <c r="S67">
        <v>3.8508</v>
      </c>
      <c r="X67" s="27" t="s">
        <v>186</v>
      </c>
      <c r="Y67" s="27" t="s">
        <v>234</v>
      </c>
    </row>
    <row r="68" spans="1:25" x14ac:dyDescent="0.25">
      <c r="A68" s="31" t="str">
        <f>"./" &amp; X68 &amp; "/" &amp; TRIM(Y68)</f>
        <v>./spechmmer/l1d.16kB_l1i.128kB</v>
      </c>
      <c r="B68" s="32">
        <v>1.4214199999999999</v>
      </c>
      <c r="C68" s="32">
        <v>8.8956999999999994E-2</v>
      </c>
      <c r="D68" s="32">
        <v>6.0000000000000002E-5</v>
      </c>
      <c r="E68" s="32">
        <v>9.0622999999999995E-2</v>
      </c>
      <c r="F68" s="32" t="s">
        <v>186</v>
      </c>
      <c r="G68" s="32" t="s">
        <v>191</v>
      </c>
      <c r="H68" s="32">
        <v>64</v>
      </c>
      <c r="I68" s="32">
        <v>1</v>
      </c>
      <c r="J68" s="32">
        <v>16</v>
      </c>
      <c r="K68" s="32">
        <v>128</v>
      </c>
      <c r="L68" s="32">
        <v>1</v>
      </c>
      <c r="M68" s="32">
        <v>1</v>
      </c>
      <c r="N68" s="32">
        <v>2</v>
      </c>
      <c r="O68" s="32">
        <v>512</v>
      </c>
      <c r="P68" s="39">
        <f t="shared" si="3"/>
        <v>5.5173631418072677</v>
      </c>
      <c r="Q68">
        <f t="shared" si="4"/>
        <v>1.5103769999999999</v>
      </c>
      <c r="R68">
        <v>13.0039</v>
      </c>
      <c r="S68">
        <v>4.2956300000000001</v>
      </c>
      <c r="X68" s="27" t="s">
        <v>186</v>
      </c>
      <c r="Y68" s="27" t="s">
        <v>235</v>
      </c>
    </row>
    <row r="69" spans="1:25" ht="15.75" thickBot="1" x14ac:dyDescent="0.3">
      <c r="A69" s="34" t="str">
        <f>"./" &amp; X69 &amp; "/" &amp; TRIM(Y69)</f>
        <v>./spechmmer/l2_size.4MB</v>
      </c>
      <c r="B69" s="35">
        <v>1.1553500000000001</v>
      </c>
      <c r="C69" s="35">
        <v>9.1427999999999995E-2</v>
      </c>
      <c r="D69" s="35">
        <v>5.8999999999999998E-5</v>
      </c>
      <c r="E69" s="35">
        <v>7.356E-2</v>
      </c>
      <c r="F69" s="35" t="s">
        <v>186</v>
      </c>
      <c r="G69" s="35" t="s">
        <v>184</v>
      </c>
      <c r="H69" s="35">
        <v>64</v>
      </c>
      <c r="I69" s="35">
        <v>1</v>
      </c>
      <c r="J69" s="35">
        <v>32</v>
      </c>
      <c r="K69" s="35">
        <v>32</v>
      </c>
      <c r="L69" s="35">
        <v>1</v>
      </c>
      <c r="M69" s="35">
        <v>1</v>
      </c>
      <c r="N69" s="35">
        <v>2</v>
      </c>
      <c r="O69" s="35">
        <v>4096</v>
      </c>
      <c r="P69" s="40">
        <f t="shared" si="3"/>
        <v>6.7971723762914626</v>
      </c>
      <c r="Q69">
        <f t="shared" si="4"/>
        <v>1.2467780000000002</v>
      </c>
      <c r="R69">
        <v>21.516200000000001</v>
      </c>
      <c r="S69">
        <v>4.0805100000000003</v>
      </c>
      <c r="X69" s="27" t="s">
        <v>186</v>
      </c>
      <c r="Y69" s="27" t="s">
        <v>236</v>
      </c>
    </row>
    <row r="70" spans="1:25" x14ac:dyDescent="0.25">
      <c r="A70" s="28" t="str">
        <f t="shared" ref="A70:A130" si="5">"./" &amp; X70 &amp; "/" &amp; TRIM(Y70)</f>
        <v>./speclibm/l2_size.256kB</v>
      </c>
      <c r="B70" s="29">
        <v>1.1464399999999999</v>
      </c>
      <c r="C70" s="29">
        <v>0.113189</v>
      </c>
      <c r="D70" s="29">
        <v>0.70424200000000003</v>
      </c>
      <c r="E70" s="29">
        <v>887.08364600000004</v>
      </c>
      <c r="F70" s="29" t="s">
        <v>187</v>
      </c>
      <c r="G70" s="29" t="s">
        <v>184</v>
      </c>
      <c r="H70" s="29">
        <v>64</v>
      </c>
      <c r="I70" s="29">
        <v>1</v>
      </c>
      <c r="J70" s="29">
        <v>32</v>
      </c>
      <c r="K70" s="29">
        <v>32</v>
      </c>
      <c r="L70" s="29">
        <v>1</v>
      </c>
      <c r="M70" s="29">
        <v>1</v>
      </c>
      <c r="N70" s="29">
        <v>2</v>
      </c>
      <c r="O70" s="29">
        <v>256</v>
      </c>
      <c r="P70" s="30">
        <f t="shared" ref="P67:P130" si="6">1/E70*1000</f>
        <v>1.1272894100901956</v>
      </c>
      <c r="Q70">
        <f t="shared" si="4"/>
        <v>1.2596289999999999</v>
      </c>
      <c r="R70">
        <v>10.182499999999999</v>
      </c>
      <c r="S70">
        <v>3.7515200000000002</v>
      </c>
      <c r="X70" s="27" t="s">
        <v>187</v>
      </c>
      <c r="Y70" s="27" t="s">
        <v>203</v>
      </c>
    </row>
    <row r="71" spans="1:25" x14ac:dyDescent="0.25">
      <c r="A71" s="31" t="str">
        <f t="shared" si="5"/>
        <v>./speclibm/l2d_assoc.4</v>
      </c>
      <c r="B71" s="32">
        <v>1.14703</v>
      </c>
      <c r="C71" s="32">
        <v>0.114356</v>
      </c>
      <c r="D71" s="32">
        <v>0.704237</v>
      </c>
      <c r="E71" s="32">
        <v>888.31469200000004</v>
      </c>
      <c r="F71" s="32" t="s">
        <v>187</v>
      </c>
      <c r="G71" s="32" t="s">
        <v>194</v>
      </c>
      <c r="H71" s="32">
        <v>64</v>
      </c>
      <c r="I71" s="32">
        <v>1</v>
      </c>
      <c r="J71" s="32">
        <v>32</v>
      </c>
      <c r="K71" s="32">
        <v>32</v>
      </c>
      <c r="L71" s="32">
        <v>1</v>
      </c>
      <c r="M71" s="32">
        <v>1</v>
      </c>
      <c r="N71" s="32">
        <v>4</v>
      </c>
      <c r="O71" s="32">
        <v>512</v>
      </c>
      <c r="P71" s="33">
        <f t="shared" si="6"/>
        <v>1.1257271876800166</v>
      </c>
      <c r="Q71">
        <f t="shared" si="4"/>
        <v>1.2613859999999999</v>
      </c>
      <c r="R71">
        <v>10.7264</v>
      </c>
      <c r="S71">
        <v>3.7822800000000001</v>
      </c>
      <c r="X71" s="27" t="s">
        <v>187</v>
      </c>
      <c r="Y71" s="27" t="s">
        <v>204</v>
      </c>
    </row>
    <row r="72" spans="1:25" x14ac:dyDescent="0.25">
      <c r="A72" s="31" t="str">
        <f t="shared" si="5"/>
        <v>./speclibm/l1i_assoc.2</v>
      </c>
      <c r="B72" s="32">
        <v>1.14927</v>
      </c>
      <c r="C72" s="32">
        <v>0.114303</v>
      </c>
      <c r="D72" s="32">
        <v>0.70422200000000001</v>
      </c>
      <c r="E72" s="32">
        <v>889.83590500000003</v>
      </c>
      <c r="F72" s="32" t="s">
        <v>187</v>
      </c>
      <c r="G72" s="32" t="s">
        <v>193</v>
      </c>
      <c r="H72" s="32">
        <v>64</v>
      </c>
      <c r="I72" s="32">
        <v>1</v>
      </c>
      <c r="J72" s="32">
        <v>32</v>
      </c>
      <c r="K72" s="32">
        <v>32</v>
      </c>
      <c r="L72" s="32">
        <v>1</v>
      </c>
      <c r="M72" s="32">
        <v>2</v>
      </c>
      <c r="N72" s="32">
        <v>2</v>
      </c>
      <c r="O72" s="32">
        <v>512</v>
      </c>
      <c r="P72" s="33">
        <f t="shared" si="6"/>
        <v>1.1238027083206987</v>
      </c>
      <c r="Q72">
        <f t="shared" si="4"/>
        <v>1.2635730000000001</v>
      </c>
      <c r="R72">
        <v>10.7638</v>
      </c>
      <c r="S72">
        <v>3.7873899999999998</v>
      </c>
      <c r="X72" s="27" t="s">
        <v>187</v>
      </c>
      <c r="Y72" s="27" t="s">
        <v>205</v>
      </c>
    </row>
    <row r="73" spans="1:25" x14ac:dyDescent="0.25">
      <c r="A73" s="31" t="str">
        <f t="shared" si="5"/>
        <v>./speclibm/l1d.64kB_l1i.128kB</v>
      </c>
      <c r="B73" s="32">
        <v>1.83192</v>
      </c>
      <c r="C73" s="32">
        <v>0.21135899999999999</v>
      </c>
      <c r="D73" s="32">
        <v>0.70417700000000005</v>
      </c>
      <c r="E73" s="32">
        <v>1438.830076</v>
      </c>
      <c r="F73" s="32" t="s">
        <v>187</v>
      </c>
      <c r="G73" s="32" t="s">
        <v>191</v>
      </c>
      <c r="H73" s="32">
        <v>64</v>
      </c>
      <c r="I73" s="32">
        <v>1</v>
      </c>
      <c r="J73" s="32">
        <v>64</v>
      </c>
      <c r="K73" s="32">
        <v>128</v>
      </c>
      <c r="L73" s="32">
        <v>1</v>
      </c>
      <c r="M73" s="32">
        <v>1</v>
      </c>
      <c r="N73" s="32">
        <v>2</v>
      </c>
      <c r="O73" s="32">
        <v>512</v>
      </c>
      <c r="P73" s="33">
        <f t="shared" si="6"/>
        <v>0.69500910265931926</v>
      </c>
      <c r="Q73">
        <f t="shared" si="4"/>
        <v>2.0432790000000001</v>
      </c>
      <c r="R73">
        <v>15.683999999999999</v>
      </c>
      <c r="S73">
        <v>5.2115</v>
      </c>
      <c r="X73" s="27" t="s">
        <v>187</v>
      </c>
      <c r="Y73" s="27" t="s">
        <v>206</v>
      </c>
    </row>
    <row r="74" spans="1:25" x14ac:dyDescent="0.25">
      <c r="A74" s="31" t="str">
        <f t="shared" si="5"/>
        <v>./speclibm/l1d.16kB_l1i.32kB</v>
      </c>
      <c r="B74" s="32">
        <v>0.73653299999999999</v>
      </c>
      <c r="C74" s="32">
        <v>0.11126800000000001</v>
      </c>
      <c r="D74" s="32">
        <v>0.70467500000000005</v>
      </c>
      <c r="E74" s="32">
        <v>597.42417</v>
      </c>
      <c r="F74" s="32" t="s">
        <v>187</v>
      </c>
      <c r="G74" s="32" t="s">
        <v>191</v>
      </c>
      <c r="H74" s="32">
        <v>64</v>
      </c>
      <c r="I74" s="32">
        <v>1</v>
      </c>
      <c r="J74" s="32">
        <v>16</v>
      </c>
      <c r="K74" s="32">
        <v>32</v>
      </c>
      <c r="L74" s="32">
        <v>1</v>
      </c>
      <c r="M74" s="32">
        <v>1</v>
      </c>
      <c r="N74" s="32">
        <v>2</v>
      </c>
      <c r="O74" s="32">
        <v>512</v>
      </c>
      <c r="P74" s="33">
        <f t="shared" si="6"/>
        <v>1.6738525995692473</v>
      </c>
      <c r="Q74">
        <f t="shared" si="4"/>
        <v>0.84780100000000003</v>
      </c>
      <c r="R74">
        <v>8.2864199999999997</v>
      </c>
      <c r="S74">
        <v>2.7385999999999999</v>
      </c>
      <c r="X74" s="27" t="s">
        <v>187</v>
      </c>
      <c r="Y74" s="27" t="s">
        <v>207</v>
      </c>
    </row>
    <row r="75" spans="1:25" x14ac:dyDescent="0.25">
      <c r="A75" s="31" t="str">
        <f t="shared" si="5"/>
        <v>./speclibm/cpu_clock.1GHz</v>
      </c>
      <c r="B75" s="32">
        <v>1.14703</v>
      </c>
      <c r="C75" s="32">
        <v>0.114302</v>
      </c>
      <c r="D75" s="32">
        <v>0.70422399999999996</v>
      </c>
      <c r="E75" s="32">
        <v>888.260266</v>
      </c>
      <c r="F75" s="32" t="s">
        <v>187</v>
      </c>
      <c r="G75" s="32" t="s">
        <v>195</v>
      </c>
      <c r="H75" s="32">
        <v>64</v>
      </c>
      <c r="I75" s="32">
        <v>1</v>
      </c>
      <c r="J75" s="32">
        <v>32</v>
      </c>
      <c r="K75" s="32">
        <v>32</v>
      </c>
      <c r="L75" s="32">
        <v>1</v>
      </c>
      <c r="M75" s="32">
        <v>1</v>
      </c>
      <c r="N75" s="32">
        <v>2</v>
      </c>
      <c r="O75" s="32">
        <v>512</v>
      </c>
      <c r="P75" s="33">
        <f t="shared" si="6"/>
        <v>1.1257961638914511</v>
      </c>
      <c r="Q75">
        <f t="shared" si="4"/>
        <v>1.2613319999999999</v>
      </c>
      <c r="R75">
        <v>10.7277</v>
      </c>
      <c r="S75">
        <v>3.7820100000000001</v>
      </c>
      <c r="X75" s="27" t="s">
        <v>187</v>
      </c>
      <c r="Y75" s="27" t="s">
        <v>208</v>
      </c>
    </row>
    <row r="76" spans="1:25" x14ac:dyDescent="0.25">
      <c r="A76" s="31" t="str">
        <f t="shared" si="5"/>
        <v>./speclibm/l1d.32kB_l1i.64kB</v>
      </c>
      <c r="B76" s="32">
        <v>1.14703</v>
      </c>
      <c r="C76" s="32">
        <v>0.114302</v>
      </c>
      <c r="D76" s="32">
        <v>0.70422399999999996</v>
      </c>
      <c r="E76" s="32">
        <v>888.260266</v>
      </c>
      <c r="F76" s="32" t="s">
        <v>187</v>
      </c>
      <c r="G76" s="32" t="s">
        <v>191</v>
      </c>
      <c r="H76" s="32">
        <v>64</v>
      </c>
      <c r="I76" s="32">
        <v>1</v>
      </c>
      <c r="J76" s="32">
        <v>32</v>
      </c>
      <c r="K76" s="32">
        <v>64</v>
      </c>
      <c r="L76" s="32">
        <v>1</v>
      </c>
      <c r="M76" s="32">
        <v>1</v>
      </c>
      <c r="N76" s="32">
        <v>2</v>
      </c>
      <c r="O76" s="32">
        <v>512</v>
      </c>
      <c r="P76" s="33">
        <f t="shared" si="6"/>
        <v>1.1257961638914511</v>
      </c>
      <c r="Q76">
        <f t="shared" si="4"/>
        <v>1.2613319999999999</v>
      </c>
      <c r="R76">
        <v>10.7277</v>
      </c>
      <c r="S76">
        <v>3.7820100000000001</v>
      </c>
      <c r="X76" s="27" t="s">
        <v>187</v>
      </c>
      <c r="Y76" s="27" t="s">
        <v>209</v>
      </c>
    </row>
    <row r="77" spans="1:25" x14ac:dyDescent="0.25">
      <c r="A77" s="31" t="str">
        <f t="shared" si="5"/>
        <v>./speclibm/l2d_assoc.1</v>
      </c>
      <c r="B77" s="32">
        <v>1.1470199999999999</v>
      </c>
      <c r="C77" s="32">
        <v>0.114287</v>
      </c>
      <c r="D77" s="32">
        <v>0.704233</v>
      </c>
      <c r="E77" s="32">
        <v>888.25401299999999</v>
      </c>
      <c r="F77" s="32" t="s">
        <v>187</v>
      </c>
      <c r="G77" s="32" t="s">
        <v>194</v>
      </c>
      <c r="H77" s="32">
        <v>64</v>
      </c>
      <c r="I77" s="32">
        <v>1</v>
      </c>
      <c r="J77" s="32">
        <v>32</v>
      </c>
      <c r="K77" s="32">
        <v>32</v>
      </c>
      <c r="L77" s="32">
        <v>1</v>
      </c>
      <c r="M77" s="32">
        <v>1</v>
      </c>
      <c r="N77" s="32">
        <v>1</v>
      </c>
      <c r="O77" s="32">
        <v>512</v>
      </c>
      <c r="P77" s="33">
        <f t="shared" si="6"/>
        <v>1.125804089105759</v>
      </c>
      <c r="Q77">
        <f t="shared" si="4"/>
        <v>1.261307</v>
      </c>
      <c r="R77">
        <v>10.7286</v>
      </c>
      <c r="S77">
        <v>3.7819699999999998</v>
      </c>
      <c r="X77" s="27" t="s">
        <v>187</v>
      </c>
      <c r="Y77" s="27" t="s">
        <v>210</v>
      </c>
    </row>
    <row r="78" spans="1:25" x14ac:dyDescent="0.25">
      <c r="A78" s="31" t="str">
        <f t="shared" si="5"/>
        <v>./speclibm/l1i_assoc.1</v>
      </c>
      <c r="B78" s="32">
        <v>1.14703</v>
      </c>
      <c r="C78" s="32">
        <v>0.114302</v>
      </c>
      <c r="D78" s="32">
        <v>0.70422399999999996</v>
      </c>
      <c r="E78" s="32">
        <v>888.260266</v>
      </c>
      <c r="F78" s="32" t="s">
        <v>187</v>
      </c>
      <c r="G78" s="32" t="s">
        <v>193</v>
      </c>
      <c r="H78" s="32">
        <v>64</v>
      </c>
      <c r="I78" s="32">
        <v>1</v>
      </c>
      <c r="J78" s="32">
        <v>32</v>
      </c>
      <c r="K78" s="32">
        <v>32</v>
      </c>
      <c r="L78" s="32">
        <v>1</v>
      </c>
      <c r="M78" s="32">
        <v>1</v>
      </c>
      <c r="N78" s="32">
        <v>2</v>
      </c>
      <c r="O78" s="32">
        <v>512</v>
      </c>
      <c r="P78" s="33">
        <f t="shared" si="6"/>
        <v>1.1257961638914511</v>
      </c>
      <c r="Q78">
        <f t="shared" si="4"/>
        <v>1.2613319999999999</v>
      </c>
      <c r="R78">
        <v>10.7277</v>
      </c>
      <c r="S78">
        <v>3.7820100000000001</v>
      </c>
      <c r="X78" s="27" t="s">
        <v>187</v>
      </c>
      <c r="Y78" s="27" t="s">
        <v>211</v>
      </c>
    </row>
    <row r="79" spans="1:25" x14ac:dyDescent="0.25">
      <c r="A79" s="31" t="str">
        <f t="shared" si="5"/>
        <v>./speclibm/l1d.32kB_l1i.32kB</v>
      </c>
      <c r="B79" s="32">
        <v>0.74404700000000001</v>
      </c>
      <c r="C79" s="32">
        <v>0.114302</v>
      </c>
      <c r="D79" s="32">
        <v>0.70422700000000005</v>
      </c>
      <c r="E79" s="32">
        <v>604.47254099999998</v>
      </c>
      <c r="F79" s="32" t="s">
        <v>187</v>
      </c>
      <c r="G79" s="32" t="s">
        <v>191</v>
      </c>
      <c r="H79" s="32">
        <v>64</v>
      </c>
      <c r="I79" s="32">
        <v>1</v>
      </c>
      <c r="J79" s="32">
        <v>32</v>
      </c>
      <c r="K79" s="32">
        <v>32</v>
      </c>
      <c r="L79" s="32">
        <v>1</v>
      </c>
      <c r="M79" s="32">
        <v>1</v>
      </c>
      <c r="N79" s="32">
        <v>2</v>
      </c>
      <c r="O79" s="32">
        <v>512</v>
      </c>
      <c r="P79" s="33">
        <f t="shared" si="6"/>
        <v>1.6543348658082386</v>
      </c>
      <c r="Q79">
        <f t="shared" si="4"/>
        <v>0.85834900000000003</v>
      </c>
      <c r="R79">
        <v>8.3388000000000009</v>
      </c>
      <c r="S79">
        <v>2.7579199999999999</v>
      </c>
      <c r="X79" s="27" t="s">
        <v>187</v>
      </c>
      <c r="Y79" s="27" t="s">
        <v>212</v>
      </c>
    </row>
    <row r="80" spans="1:25" x14ac:dyDescent="0.25">
      <c r="A80" s="31" t="str">
        <f t="shared" si="5"/>
        <v>./speclibm/l1i_assoc.4</v>
      </c>
      <c r="B80" s="32">
        <v>0.87417199999999995</v>
      </c>
      <c r="C80" s="32">
        <v>0.114302</v>
      </c>
      <c r="D80" s="32">
        <v>0.70422600000000002</v>
      </c>
      <c r="E80" s="32">
        <v>696.10909100000003</v>
      </c>
      <c r="F80" s="32" t="s">
        <v>187</v>
      </c>
      <c r="G80" s="32" t="s">
        <v>193</v>
      </c>
      <c r="H80" s="32">
        <v>64</v>
      </c>
      <c r="I80" s="32">
        <v>1</v>
      </c>
      <c r="J80" s="32">
        <v>32</v>
      </c>
      <c r="K80" s="32">
        <v>32</v>
      </c>
      <c r="L80" s="32">
        <v>1</v>
      </c>
      <c r="M80" s="32">
        <v>4</v>
      </c>
      <c r="N80" s="32">
        <v>2</v>
      </c>
      <c r="O80" s="32">
        <v>512</v>
      </c>
      <c r="P80" s="33">
        <f t="shared" si="6"/>
        <v>1.4365564434210212</v>
      </c>
      <c r="Q80">
        <f t="shared" si="4"/>
        <v>0.98847399999999996</v>
      </c>
      <c r="R80">
        <v>9.7305700000000002</v>
      </c>
      <c r="S80">
        <v>3.4842</v>
      </c>
      <c r="X80" s="27" t="s">
        <v>187</v>
      </c>
      <c r="Y80" s="27" t="s">
        <v>213</v>
      </c>
    </row>
    <row r="81" spans="1:25" x14ac:dyDescent="0.25">
      <c r="A81" s="31" t="str">
        <f t="shared" si="5"/>
        <v>./speclibm/l1d.128kB_l1i.16kB</v>
      </c>
      <c r="B81" s="32">
        <v>1.4214199999999999</v>
      </c>
      <c r="C81" s="32">
        <v>0.255718</v>
      </c>
      <c r="D81" s="32">
        <v>0.70414900000000002</v>
      </c>
      <c r="E81" s="32">
        <v>1180.955046</v>
      </c>
      <c r="F81" s="32" t="s">
        <v>187</v>
      </c>
      <c r="G81" s="32" t="s">
        <v>191</v>
      </c>
      <c r="H81" s="32">
        <v>64</v>
      </c>
      <c r="I81" s="32">
        <v>1</v>
      </c>
      <c r="J81" s="32">
        <v>128</v>
      </c>
      <c r="K81" s="32">
        <v>16</v>
      </c>
      <c r="L81" s="32">
        <v>1</v>
      </c>
      <c r="M81" s="32">
        <v>1</v>
      </c>
      <c r="N81" s="32">
        <v>2</v>
      </c>
      <c r="O81" s="32">
        <v>512</v>
      </c>
      <c r="P81" s="33">
        <f t="shared" si="6"/>
        <v>0.84677228264283988</v>
      </c>
      <c r="Q81">
        <f t="shared" si="4"/>
        <v>1.6771379999999998</v>
      </c>
      <c r="R81">
        <v>13.480399999999999</v>
      </c>
      <c r="S81">
        <v>4.1266699999999998</v>
      </c>
      <c r="X81" s="27" t="s">
        <v>187</v>
      </c>
      <c r="Y81" s="27" t="s">
        <v>214</v>
      </c>
    </row>
    <row r="82" spans="1:25" x14ac:dyDescent="0.25">
      <c r="A82" s="31" t="str">
        <f t="shared" si="5"/>
        <v>./speclibm/l1d_assoc.2</v>
      </c>
      <c r="B82" s="32">
        <v>1.1473599999999999</v>
      </c>
      <c r="C82" s="32">
        <v>0.116259</v>
      </c>
      <c r="D82" s="32">
        <v>0.70412799999999998</v>
      </c>
      <c r="E82" s="32">
        <v>889.74951899999996</v>
      </c>
      <c r="F82" s="32" t="s">
        <v>187</v>
      </c>
      <c r="G82" s="32" t="s">
        <v>192</v>
      </c>
      <c r="H82" s="32">
        <v>64</v>
      </c>
      <c r="I82" s="32">
        <v>1</v>
      </c>
      <c r="J82" s="32">
        <v>32</v>
      </c>
      <c r="K82" s="32">
        <v>32</v>
      </c>
      <c r="L82" s="32">
        <v>2</v>
      </c>
      <c r="M82" s="32">
        <v>1</v>
      </c>
      <c r="N82" s="32">
        <v>2</v>
      </c>
      <c r="O82" s="32">
        <v>512</v>
      </c>
      <c r="P82" s="33">
        <f t="shared" si="6"/>
        <v>1.1239118186025117</v>
      </c>
      <c r="Q82">
        <f t="shared" si="4"/>
        <v>1.2636189999999998</v>
      </c>
      <c r="R82">
        <v>10.764200000000001</v>
      </c>
      <c r="S82">
        <v>3.8013499999999998</v>
      </c>
      <c r="X82" s="27" t="s">
        <v>187</v>
      </c>
      <c r="Y82" s="27" t="s">
        <v>215</v>
      </c>
    </row>
    <row r="83" spans="1:25" x14ac:dyDescent="0.25">
      <c r="A83" s="31" t="str">
        <f t="shared" si="5"/>
        <v>./speclibm/l1d.128kB_l1i.128kB</v>
      </c>
      <c r="B83" s="32">
        <v>2.1138300000000001</v>
      </c>
      <c r="C83" s="32">
        <v>0.25571899999999997</v>
      </c>
      <c r="D83" s="32">
        <v>0.70414500000000002</v>
      </c>
      <c r="E83" s="32">
        <v>1668.506081</v>
      </c>
      <c r="F83" s="32" t="s">
        <v>187</v>
      </c>
      <c r="G83" s="32" t="s">
        <v>191</v>
      </c>
      <c r="H83" s="32">
        <v>64</v>
      </c>
      <c r="I83" s="32">
        <v>1</v>
      </c>
      <c r="J83" s="32">
        <v>128</v>
      </c>
      <c r="K83" s="32">
        <v>128</v>
      </c>
      <c r="L83" s="32">
        <v>1</v>
      </c>
      <c r="M83" s="32">
        <v>1</v>
      </c>
      <c r="N83" s="32">
        <v>2</v>
      </c>
      <c r="O83" s="32">
        <v>512</v>
      </c>
      <c r="P83" s="33">
        <f t="shared" si="6"/>
        <v>0.5993385408584555</v>
      </c>
      <c r="Q83">
        <f t="shared" si="4"/>
        <v>2.3695490000000001</v>
      </c>
      <c r="R83">
        <v>18.2455</v>
      </c>
      <c r="S83">
        <v>5.70181</v>
      </c>
      <c r="X83" s="27" t="s">
        <v>187</v>
      </c>
      <c r="Y83" s="27" t="s">
        <v>216</v>
      </c>
    </row>
    <row r="84" spans="1:25" x14ac:dyDescent="0.25">
      <c r="A84" s="31" t="str">
        <f t="shared" si="5"/>
        <v>./speclibm/l2_size.2MB</v>
      </c>
      <c r="B84" s="32">
        <v>1.15062</v>
      </c>
      <c r="C84" s="32">
        <v>0.121257</v>
      </c>
      <c r="D84" s="32">
        <v>0.70411199999999996</v>
      </c>
      <c r="E84" s="32">
        <v>895.543858</v>
      </c>
      <c r="F84" s="32" t="s">
        <v>187</v>
      </c>
      <c r="G84" s="32" t="s">
        <v>184</v>
      </c>
      <c r="H84" s="32">
        <v>64</v>
      </c>
      <c r="I84" s="32">
        <v>1</v>
      </c>
      <c r="J84" s="32">
        <v>32</v>
      </c>
      <c r="K84" s="32">
        <v>32</v>
      </c>
      <c r="L84" s="32">
        <v>1</v>
      </c>
      <c r="M84" s="32">
        <v>1</v>
      </c>
      <c r="N84" s="32">
        <v>2</v>
      </c>
      <c r="O84" s="32">
        <v>2048</v>
      </c>
      <c r="P84" s="33">
        <f t="shared" si="6"/>
        <v>1.1166398954857215</v>
      </c>
      <c r="Q84">
        <f t="shared" si="4"/>
        <v>1.2718769999999999</v>
      </c>
      <c r="R84">
        <v>16.329799999999999</v>
      </c>
      <c r="S84">
        <v>3.9575200000000001</v>
      </c>
      <c r="X84" s="27" t="s">
        <v>187</v>
      </c>
      <c r="Y84" s="27" t="s">
        <v>217</v>
      </c>
    </row>
    <row r="85" spans="1:25" x14ac:dyDescent="0.25">
      <c r="A85" s="31" t="str">
        <f t="shared" si="5"/>
        <v>./speclibm/l1d_assoc.1</v>
      </c>
      <c r="B85" s="32">
        <v>1.14703</v>
      </c>
      <c r="C85" s="32">
        <v>0.114302</v>
      </c>
      <c r="D85" s="32">
        <v>0.70422399999999996</v>
      </c>
      <c r="E85" s="32">
        <v>888.260266</v>
      </c>
      <c r="F85" s="32" t="s">
        <v>187</v>
      </c>
      <c r="G85" s="32" t="s">
        <v>192</v>
      </c>
      <c r="H85" s="32">
        <v>64</v>
      </c>
      <c r="I85" s="32">
        <v>1</v>
      </c>
      <c r="J85" s="32">
        <v>32</v>
      </c>
      <c r="K85" s="32">
        <v>32</v>
      </c>
      <c r="L85" s="32">
        <v>1</v>
      </c>
      <c r="M85" s="32">
        <v>1</v>
      </c>
      <c r="N85" s="32">
        <v>2</v>
      </c>
      <c r="O85" s="32">
        <v>512</v>
      </c>
      <c r="P85" s="33">
        <f t="shared" si="6"/>
        <v>1.1257961638914511</v>
      </c>
      <c r="Q85">
        <f t="shared" si="4"/>
        <v>1.2613319999999999</v>
      </c>
      <c r="R85">
        <v>10.7277</v>
      </c>
      <c r="S85">
        <v>3.7820100000000001</v>
      </c>
      <c r="X85" s="27" t="s">
        <v>187</v>
      </c>
      <c r="Y85" s="27" t="s">
        <v>218</v>
      </c>
    </row>
    <row r="86" spans="1:25" x14ac:dyDescent="0.25">
      <c r="A86" s="31" t="str">
        <f t="shared" si="5"/>
        <v>./speclibm/l1d.32kB_l1i.16kB</v>
      </c>
      <c r="B86" s="32">
        <v>0.73653299999999999</v>
      </c>
      <c r="C86" s="32">
        <v>0.114302</v>
      </c>
      <c r="D86" s="32">
        <v>0.70423000000000002</v>
      </c>
      <c r="E86" s="32">
        <v>599.18353200000001</v>
      </c>
      <c r="F86" s="32" t="s">
        <v>187</v>
      </c>
      <c r="G86" s="32" t="s">
        <v>191</v>
      </c>
      <c r="H86" s="32">
        <v>64</v>
      </c>
      <c r="I86" s="32">
        <v>1</v>
      </c>
      <c r="J86" s="32">
        <v>32</v>
      </c>
      <c r="K86" s="32">
        <v>16</v>
      </c>
      <c r="L86" s="32">
        <v>1</v>
      </c>
      <c r="M86" s="32">
        <v>1</v>
      </c>
      <c r="N86" s="32">
        <v>2</v>
      </c>
      <c r="O86" s="32">
        <v>512</v>
      </c>
      <c r="P86" s="33">
        <f t="shared" si="6"/>
        <v>1.6689377237423808</v>
      </c>
      <c r="Q86">
        <f t="shared" si="4"/>
        <v>0.85083500000000001</v>
      </c>
      <c r="R86">
        <v>8.2911800000000007</v>
      </c>
      <c r="S86">
        <v>2.7398099999999999</v>
      </c>
      <c r="X86" s="27" t="s">
        <v>187</v>
      </c>
      <c r="Y86" s="27" t="s">
        <v>219</v>
      </c>
    </row>
    <row r="87" spans="1:25" x14ac:dyDescent="0.25">
      <c r="A87" s="31" t="str">
        <f t="shared" si="5"/>
        <v>./speclibm/l1d.64kB_l1i.32kB</v>
      </c>
      <c r="B87" s="32">
        <v>1.14703</v>
      </c>
      <c r="C87" s="32">
        <v>0.21135799999999999</v>
      </c>
      <c r="D87" s="32">
        <v>0.70417700000000005</v>
      </c>
      <c r="E87" s="32">
        <v>956.54558699999995</v>
      </c>
      <c r="F87" s="32" t="s">
        <v>187</v>
      </c>
      <c r="G87" s="32" t="s">
        <v>191</v>
      </c>
      <c r="H87" s="32">
        <v>64</v>
      </c>
      <c r="I87" s="32">
        <v>1</v>
      </c>
      <c r="J87" s="32">
        <v>64</v>
      </c>
      <c r="K87" s="32">
        <v>32</v>
      </c>
      <c r="L87" s="32">
        <v>1</v>
      </c>
      <c r="M87" s="32">
        <v>1</v>
      </c>
      <c r="N87" s="32">
        <v>2</v>
      </c>
      <c r="O87" s="32">
        <v>512</v>
      </c>
      <c r="P87" s="33">
        <f t="shared" si="6"/>
        <v>1.0454284809742163</v>
      </c>
      <c r="Q87">
        <f t="shared" si="4"/>
        <v>1.3583879999999999</v>
      </c>
      <c r="R87">
        <v>10.9665</v>
      </c>
      <c r="S87">
        <v>3.6544699999999999</v>
      </c>
      <c r="X87" s="27" t="s">
        <v>187</v>
      </c>
      <c r="Y87" s="27" t="s">
        <v>220</v>
      </c>
    </row>
    <row r="88" spans="1:25" x14ac:dyDescent="0.25">
      <c r="A88" s="31" t="str">
        <f t="shared" si="5"/>
        <v>./speclibm/l1d.64kB_l1i.16kB</v>
      </c>
      <c r="B88" s="32">
        <v>1.13951</v>
      </c>
      <c r="C88" s="32">
        <v>0.21135699999999999</v>
      </c>
      <c r="D88" s="32">
        <v>0.70418099999999995</v>
      </c>
      <c r="E88" s="32">
        <v>951.25487499999997</v>
      </c>
      <c r="F88" s="32" t="s">
        <v>187</v>
      </c>
      <c r="G88" s="32" t="s">
        <v>191</v>
      </c>
      <c r="H88" s="32">
        <v>64</v>
      </c>
      <c r="I88" s="32">
        <v>1</v>
      </c>
      <c r="J88" s="32">
        <v>64</v>
      </c>
      <c r="K88" s="32">
        <v>16</v>
      </c>
      <c r="L88" s="32">
        <v>1</v>
      </c>
      <c r="M88" s="32">
        <v>1</v>
      </c>
      <c r="N88" s="32">
        <v>2</v>
      </c>
      <c r="O88" s="32">
        <v>512</v>
      </c>
      <c r="P88" s="33">
        <f t="shared" si="6"/>
        <v>1.051242969976895</v>
      </c>
      <c r="Q88">
        <f t="shared" si="4"/>
        <v>1.350867</v>
      </c>
      <c r="R88">
        <v>10.918900000000001</v>
      </c>
      <c r="S88">
        <v>3.6363699999999999</v>
      </c>
      <c r="X88" s="27" t="s">
        <v>187</v>
      </c>
      <c r="Y88" s="27" t="s">
        <v>221</v>
      </c>
    </row>
    <row r="89" spans="1:25" x14ac:dyDescent="0.25">
      <c r="A89" s="31" t="str">
        <f t="shared" si="5"/>
        <v>./speclibm/l1d.32kB_l1i.128kB</v>
      </c>
      <c r="B89" s="32">
        <v>1.4289400000000001</v>
      </c>
      <c r="C89" s="32">
        <v>0.114302</v>
      </c>
      <c r="D89" s="32">
        <v>0.70422399999999996</v>
      </c>
      <c r="E89" s="32">
        <v>1086.7880540000001</v>
      </c>
      <c r="F89" s="32" t="s">
        <v>187</v>
      </c>
      <c r="G89" s="32" t="s">
        <v>191</v>
      </c>
      <c r="H89" s="32">
        <v>64</v>
      </c>
      <c r="I89" s="32">
        <v>1</v>
      </c>
      <c r="J89" s="32">
        <v>32</v>
      </c>
      <c r="K89" s="32">
        <v>128</v>
      </c>
      <c r="L89" s="32">
        <v>1</v>
      </c>
      <c r="M89" s="32">
        <v>1</v>
      </c>
      <c r="N89" s="32">
        <v>2</v>
      </c>
      <c r="O89" s="32">
        <v>512</v>
      </c>
      <c r="P89" s="33">
        <f t="shared" si="6"/>
        <v>0.92014261319806512</v>
      </c>
      <c r="Q89">
        <f t="shared" si="4"/>
        <v>1.543242</v>
      </c>
      <c r="R89">
        <v>13.0563</v>
      </c>
      <c r="S89">
        <v>4.31494</v>
      </c>
      <c r="X89" s="27" t="s">
        <v>187</v>
      </c>
      <c r="Y89" s="27" t="s">
        <v>222</v>
      </c>
    </row>
    <row r="90" spans="1:25" x14ac:dyDescent="0.25">
      <c r="A90" s="31" t="str">
        <f t="shared" si="5"/>
        <v>./speclibm/l2d_assoc.2</v>
      </c>
      <c r="B90" s="32">
        <v>1.14703</v>
      </c>
      <c r="C90" s="32">
        <v>0.114302</v>
      </c>
      <c r="D90" s="32">
        <v>0.70422399999999996</v>
      </c>
      <c r="E90" s="32">
        <v>888.260266</v>
      </c>
      <c r="F90" s="32" t="s">
        <v>187</v>
      </c>
      <c r="G90" s="32" t="s">
        <v>194</v>
      </c>
      <c r="H90" s="32">
        <v>64</v>
      </c>
      <c r="I90" s="32">
        <v>1</v>
      </c>
      <c r="J90" s="32">
        <v>32</v>
      </c>
      <c r="K90" s="32">
        <v>32</v>
      </c>
      <c r="L90" s="32">
        <v>1</v>
      </c>
      <c r="M90" s="32">
        <v>1</v>
      </c>
      <c r="N90" s="32">
        <v>2</v>
      </c>
      <c r="O90" s="32">
        <v>512</v>
      </c>
      <c r="P90" s="33">
        <f t="shared" si="6"/>
        <v>1.1257961638914511</v>
      </c>
      <c r="Q90">
        <f t="shared" si="4"/>
        <v>1.2613319999999999</v>
      </c>
      <c r="R90">
        <v>10.7277</v>
      </c>
      <c r="S90">
        <v>3.7820100000000001</v>
      </c>
      <c r="X90" s="27" t="s">
        <v>187</v>
      </c>
      <c r="Y90" s="27" t="s">
        <v>223</v>
      </c>
    </row>
    <row r="91" spans="1:25" x14ac:dyDescent="0.25">
      <c r="A91" s="31" t="str">
        <f t="shared" si="5"/>
        <v>./speclibm/l1d_assoc.4</v>
      </c>
      <c r="B91" s="32">
        <v>1.22661</v>
      </c>
      <c r="C91" s="32">
        <v>0.210316</v>
      </c>
      <c r="D91" s="32">
        <v>0.70412799999999998</v>
      </c>
      <c r="E91" s="32">
        <v>1011.7798309999999</v>
      </c>
      <c r="F91" s="32" t="s">
        <v>187</v>
      </c>
      <c r="G91" s="32" t="s">
        <v>192</v>
      </c>
      <c r="H91" s="32">
        <v>64</v>
      </c>
      <c r="I91" s="32">
        <v>1</v>
      </c>
      <c r="J91" s="32">
        <v>32</v>
      </c>
      <c r="K91" s="32">
        <v>32</v>
      </c>
      <c r="L91" s="32">
        <v>4</v>
      </c>
      <c r="M91" s="32">
        <v>1</v>
      </c>
      <c r="N91" s="32">
        <v>2</v>
      </c>
      <c r="O91" s="32">
        <v>512</v>
      </c>
      <c r="P91" s="33">
        <f t="shared" si="6"/>
        <v>0.98835731782836844</v>
      </c>
      <c r="Q91">
        <f t="shared" si="4"/>
        <v>1.4369259999999999</v>
      </c>
      <c r="R91">
        <v>11.603899999999999</v>
      </c>
      <c r="S91">
        <v>4.2146999999999997</v>
      </c>
      <c r="X91" s="27" t="s">
        <v>187</v>
      </c>
      <c r="Y91" s="27" t="s">
        <v>224</v>
      </c>
    </row>
    <row r="92" spans="1:25" x14ac:dyDescent="0.25">
      <c r="A92" s="31" t="str">
        <f t="shared" si="5"/>
        <v>./speclibm/cacheline.128</v>
      </c>
      <c r="B92" s="32">
        <v>1.1059399999999999</v>
      </c>
      <c r="C92" s="32">
        <v>0.185393</v>
      </c>
      <c r="D92" s="32">
        <v>0.49782100000000001</v>
      </c>
      <c r="E92" s="32">
        <v>642.85268499999995</v>
      </c>
      <c r="F92" s="32" t="s">
        <v>187</v>
      </c>
      <c r="G92" s="32" t="s">
        <v>190</v>
      </c>
      <c r="H92" s="32">
        <v>128</v>
      </c>
      <c r="I92" s="32">
        <v>1</v>
      </c>
      <c r="J92" s="32">
        <v>32</v>
      </c>
      <c r="K92" s="32">
        <v>32</v>
      </c>
      <c r="L92" s="32">
        <v>1</v>
      </c>
      <c r="M92" s="32">
        <v>1</v>
      </c>
      <c r="N92" s="32">
        <v>2</v>
      </c>
      <c r="O92" s="32">
        <v>512</v>
      </c>
      <c r="P92" s="33">
        <f t="shared" si="6"/>
        <v>1.5555663425439377</v>
      </c>
      <c r="Q92">
        <f t="shared" si="4"/>
        <v>1.2913329999999998</v>
      </c>
      <c r="R92">
        <v>27.278600000000001</v>
      </c>
      <c r="S92">
        <v>8.1870999999999992</v>
      </c>
      <c r="X92" s="27" t="s">
        <v>187</v>
      </c>
      <c r="Y92" s="27" t="s">
        <v>225</v>
      </c>
    </row>
    <row r="93" spans="1:25" x14ac:dyDescent="0.25">
      <c r="A93" s="31" t="str">
        <f t="shared" si="5"/>
        <v>./speclibm/l1d.16kB_l1i.16kB</v>
      </c>
      <c r="B93" s="32">
        <v>0.72901800000000005</v>
      </c>
      <c r="C93" s="32">
        <v>0.11130900000000001</v>
      </c>
      <c r="D93" s="32">
        <v>0.70435599999999998</v>
      </c>
      <c r="E93" s="32">
        <v>591.889364</v>
      </c>
      <c r="F93" s="32" t="s">
        <v>187</v>
      </c>
      <c r="G93" s="32" t="s">
        <v>191</v>
      </c>
      <c r="H93" s="32">
        <v>64</v>
      </c>
      <c r="I93" s="32">
        <v>1</v>
      </c>
      <c r="J93" s="32">
        <v>16</v>
      </c>
      <c r="K93" s="32">
        <v>16</v>
      </c>
      <c r="L93" s="32">
        <v>1</v>
      </c>
      <c r="M93" s="32">
        <v>1</v>
      </c>
      <c r="N93" s="32">
        <v>2</v>
      </c>
      <c r="O93" s="32">
        <v>512</v>
      </c>
      <c r="P93" s="33">
        <f t="shared" si="6"/>
        <v>1.6895049325468197</v>
      </c>
      <c r="Q93">
        <f t="shared" si="4"/>
        <v>0.84032700000000005</v>
      </c>
      <c r="R93">
        <v>8.2387999999999995</v>
      </c>
      <c r="S93">
        <v>2.7204899999999999</v>
      </c>
      <c r="X93" s="27" t="s">
        <v>187</v>
      </c>
      <c r="Y93" s="27" t="s">
        <v>226</v>
      </c>
    </row>
    <row r="94" spans="1:25" x14ac:dyDescent="0.25">
      <c r="A94" s="31" t="str">
        <f t="shared" si="5"/>
        <v>./speclibm/l2_size.512kB</v>
      </c>
      <c r="B94" s="32">
        <v>1.14703</v>
      </c>
      <c r="C94" s="32">
        <v>0.114302</v>
      </c>
      <c r="D94" s="32">
        <v>0.70422399999999996</v>
      </c>
      <c r="E94" s="32">
        <v>888.260266</v>
      </c>
      <c r="F94" s="32" t="s">
        <v>187</v>
      </c>
      <c r="G94" s="32" t="s">
        <v>184</v>
      </c>
      <c r="H94" s="32">
        <v>64</v>
      </c>
      <c r="I94" s="32">
        <v>1</v>
      </c>
      <c r="J94" s="32">
        <v>32</v>
      </c>
      <c r="K94" s="32">
        <v>32</v>
      </c>
      <c r="L94" s="32">
        <v>1</v>
      </c>
      <c r="M94" s="32">
        <v>1</v>
      </c>
      <c r="N94" s="32">
        <v>2</v>
      </c>
      <c r="O94" s="32">
        <v>512</v>
      </c>
      <c r="P94" s="33">
        <f t="shared" si="6"/>
        <v>1.1257961638914511</v>
      </c>
      <c r="Q94">
        <f t="shared" si="4"/>
        <v>1.2613319999999999</v>
      </c>
      <c r="R94">
        <v>10.7277</v>
      </c>
      <c r="S94">
        <v>3.7820100000000001</v>
      </c>
      <c r="X94" s="27" t="s">
        <v>187</v>
      </c>
      <c r="Y94" s="27" t="s">
        <v>227</v>
      </c>
    </row>
    <row r="95" spans="1:25" x14ac:dyDescent="0.25">
      <c r="A95" s="31" t="str">
        <f t="shared" si="5"/>
        <v>./speclibm/cacheline.64</v>
      </c>
      <c r="B95" s="32">
        <v>1.14703</v>
      </c>
      <c r="C95" s="32">
        <v>0.114302</v>
      </c>
      <c r="D95" s="32">
        <v>0.70422399999999996</v>
      </c>
      <c r="E95" s="32">
        <v>888.260266</v>
      </c>
      <c r="F95" s="32" t="s">
        <v>187</v>
      </c>
      <c r="G95" s="32" t="s">
        <v>190</v>
      </c>
      <c r="H95" s="32">
        <v>64</v>
      </c>
      <c r="I95" s="32">
        <v>1</v>
      </c>
      <c r="J95" s="32">
        <v>32</v>
      </c>
      <c r="K95" s="32">
        <v>32</v>
      </c>
      <c r="L95" s="32">
        <v>1</v>
      </c>
      <c r="M95" s="32">
        <v>1</v>
      </c>
      <c r="N95" s="32">
        <v>2</v>
      </c>
      <c r="O95" s="32">
        <v>512</v>
      </c>
      <c r="P95" s="33">
        <f t="shared" si="6"/>
        <v>1.1257961638914511</v>
      </c>
      <c r="Q95">
        <f t="shared" si="4"/>
        <v>1.2613319999999999</v>
      </c>
      <c r="R95">
        <v>10.7277</v>
      </c>
      <c r="S95">
        <v>3.7820100000000001</v>
      </c>
      <c r="X95" s="27" t="s">
        <v>187</v>
      </c>
      <c r="Y95" s="27" t="s">
        <v>228</v>
      </c>
    </row>
    <row r="96" spans="1:25" x14ac:dyDescent="0.25">
      <c r="A96" s="31" t="str">
        <f t="shared" si="5"/>
        <v>./speclibm/l1d.128kB_l1i.32kB</v>
      </c>
      <c r="B96" s="32">
        <v>1.4289400000000001</v>
      </c>
      <c r="C96" s="32">
        <v>0.255716</v>
      </c>
      <c r="D96" s="32">
        <v>0.704152</v>
      </c>
      <c r="E96" s="32">
        <v>1186.253892</v>
      </c>
      <c r="F96" s="32" t="s">
        <v>187</v>
      </c>
      <c r="G96" s="32" t="s">
        <v>191</v>
      </c>
      <c r="H96" s="32">
        <v>64</v>
      </c>
      <c r="I96" s="32">
        <v>1</v>
      </c>
      <c r="J96" s="32">
        <v>128</v>
      </c>
      <c r="K96" s="32">
        <v>32</v>
      </c>
      <c r="L96" s="32">
        <v>1</v>
      </c>
      <c r="M96" s="32">
        <v>1</v>
      </c>
      <c r="N96" s="32">
        <v>2</v>
      </c>
      <c r="O96" s="32">
        <v>512</v>
      </c>
      <c r="P96" s="33">
        <f t="shared" si="6"/>
        <v>0.8429898580261096</v>
      </c>
      <c r="Q96">
        <f t="shared" si="4"/>
        <v>1.6846560000000002</v>
      </c>
      <c r="R96">
        <v>13.528</v>
      </c>
      <c r="S96">
        <v>4.1447799999999999</v>
      </c>
      <c r="X96" s="27" t="s">
        <v>187</v>
      </c>
      <c r="Y96" s="27" t="s">
        <v>229</v>
      </c>
    </row>
    <row r="97" spans="1:25" x14ac:dyDescent="0.25">
      <c r="A97" s="31" t="str">
        <f t="shared" si="5"/>
        <v>./speclibm/l1d.16kB_l1i.64kB</v>
      </c>
      <c r="B97" s="32">
        <v>1.13951</v>
      </c>
      <c r="C97" s="32">
        <v>0.11126900000000001</v>
      </c>
      <c r="D97" s="32">
        <v>0.70467299999999999</v>
      </c>
      <c r="E97" s="32">
        <v>881.39018999999996</v>
      </c>
      <c r="F97" s="32" t="s">
        <v>187</v>
      </c>
      <c r="G97" s="32" t="s">
        <v>191</v>
      </c>
      <c r="H97" s="32">
        <v>64</v>
      </c>
      <c r="I97" s="32">
        <v>1</v>
      </c>
      <c r="J97" s="32">
        <v>16</v>
      </c>
      <c r="K97" s="32">
        <v>64</v>
      </c>
      <c r="L97" s="32">
        <v>1</v>
      </c>
      <c r="M97" s="32">
        <v>1</v>
      </c>
      <c r="N97" s="32">
        <v>2</v>
      </c>
      <c r="O97" s="32">
        <v>512</v>
      </c>
      <c r="P97" s="33">
        <f t="shared" si="6"/>
        <v>1.1345712844841171</v>
      </c>
      <c r="Q97">
        <f t="shared" si="4"/>
        <v>1.2507790000000001</v>
      </c>
      <c r="R97">
        <v>10.6753</v>
      </c>
      <c r="S97">
        <v>3.7626900000000001</v>
      </c>
      <c r="X97" s="27" t="s">
        <v>187</v>
      </c>
      <c r="Y97" s="27" t="s">
        <v>230</v>
      </c>
    </row>
    <row r="98" spans="1:25" x14ac:dyDescent="0.25">
      <c r="A98" s="31" t="str">
        <f t="shared" si="5"/>
        <v>./speclibm/cacheline.32</v>
      </c>
      <c r="B98" s="32">
        <v>0.84024299999999996</v>
      </c>
      <c r="C98" s="32">
        <v>9.5982999999999999E-2</v>
      </c>
      <c r="D98" s="32">
        <v>1.1660410000000001</v>
      </c>
      <c r="E98" s="32">
        <v>1091.677668</v>
      </c>
      <c r="F98" s="32" t="s">
        <v>187</v>
      </c>
      <c r="G98" s="32" t="s">
        <v>190</v>
      </c>
      <c r="H98" s="32">
        <v>32</v>
      </c>
      <c r="I98" s="32">
        <v>1</v>
      </c>
      <c r="J98" s="32">
        <v>32</v>
      </c>
      <c r="K98" s="32">
        <v>32</v>
      </c>
      <c r="L98" s="32">
        <v>1</v>
      </c>
      <c r="M98" s="32">
        <v>1</v>
      </c>
      <c r="N98" s="32">
        <v>2</v>
      </c>
      <c r="O98" s="32">
        <v>512</v>
      </c>
      <c r="P98" s="33">
        <f t="shared" si="6"/>
        <v>0.91602130309401908</v>
      </c>
      <c r="Q98">
        <f t="shared" si="4"/>
        <v>0.936226</v>
      </c>
      <c r="R98">
        <v>8.6724599999999992</v>
      </c>
      <c r="S98">
        <v>2.17171</v>
      </c>
      <c r="X98" s="27" t="s">
        <v>187</v>
      </c>
      <c r="Y98" s="27" t="s">
        <v>231</v>
      </c>
    </row>
    <row r="99" spans="1:25" x14ac:dyDescent="0.25">
      <c r="A99" s="31" t="str">
        <f t="shared" si="5"/>
        <v>./speclibm/l1d.64kB_l1i.64kB</v>
      </c>
      <c r="B99" s="32">
        <v>1.55</v>
      </c>
      <c r="C99" s="32">
        <v>0.21135799999999999</v>
      </c>
      <c r="D99" s="32">
        <v>0.70417799999999997</v>
      </c>
      <c r="E99" s="32">
        <v>1240.3095539999999</v>
      </c>
      <c r="F99" s="32" t="s">
        <v>187</v>
      </c>
      <c r="G99" s="32" t="s">
        <v>191</v>
      </c>
      <c r="H99" s="32">
        <v>64</v>
      </c>
      <c r="I99" s="32">
        <v>1</v>
      </c>
      <c r="J99" s="32">
        <v>64</v>
      </c>
      <c r="K99" s="32">
        <v>64</v>
      </c>
      <c r="L99" s="32">
        <v>1</v>
      </c>
      <c r="M99" s="32">
        <v>1</v>
      </c>
      <c r="N99" s="32">
        <v>2</v>
      </c>
      <c r="O99" s="32">
        <v>512</v>
      </c>
      <c r="P99" s="33">
        <f t="shared" si="6"/>
        <v>0.80625034030819054</v>
      </c>
      <c r="Q99">
        <f t="shared" si="4"/>
        <v>1.761358</v>
      </c>
      <c r="R99">
        <v>13.355399999999999</v>
      </c>
      <c r="S99">
        <v>4.6785699999999997</v>
      </c>
      <c r="X99" s="27" t="s">
        <v>187</v>
      </c>
      <c r="Y99" s="27" t="s">
        <v>232</v>
      </c>
    </row>
    <row r="100" spans="1:25" x14ac:dyDescent="0.25">
      <c r="A100" s="31" t="str">
        <f t="shared" si="5"/>
        <v>./speclibm/l1d.128kB_l1i.64kB</v>
      </c>
      <c r="B100" s="32">
        <v>1.83192</v>
      </c>
      <c r="C100" s="32">
        <v>0.255718</v>
      </c>
      <c r="D100" s="32">
        <v>0.704148</v>
      </c>
      <c r="E100" s="32">
        <v>1470.006122</v>
      </c>
      <c r="F100" s="32" t="s">
        <v>187</v>
      </c>
      <c r="G100" s="32" t="s">
        <v>191</v>
      </c>
      <c r="H100" s="32">
        <v>64</v>
      </c>
      <c r="I100" s="32">
        <v>1</v>
      </c>
      <c r="J100" s="32">
        <v>128</v>
      </c>
      <c r="K100" s="32">
        <v>64</v>
      </c>
      <c r="L100" s="32">
        <v>1</v>
      </c>
      <c r="M100" s="32">
        <v>1</v>
      </c>
      <c r="N100" s="32">
        <v>2</v>
      </c>
      <c r="O100" s="32">
        <v>512</v>
      </c>
      <c r="P100" s="33">
        <f t="shared" si="6"/>
        <v>0.68026927577652629</v>
      </c>
      <c r="Q100">
        <f t="shared" si="4"/>
        <v>2.0876380000000001</v>
      </c>
      <c r="R100">
        <v>15.9169</v>
      </c>
      <c r="S100">
        <v>5.1688700000000001</v>
      </c>
      <c r="X100" s="27" t="s">
        <v>187</v>
      </c>
      <c r="Y100" s="27" t="s">
        <v>233</v>
      </c>
    </row>
    <row r="101" spans="1:25" x14ac:dyDescent="0.25">
      <c r="A101" s="31" t="str">
        <f t="shared" si="5"/>
        <v>./speclibm/l2_size.1MB</v>
      </c>
      <c r="B101" s="32">
        <v>1.14855</v>
      </c>
      <c r="C101" s="32">
        <v>0.117018</v>
      </c>
      <c r="D101" s="32">
        <v>0.70419299999999996</v>
      </c>
      <c r="E101" s="32">
        <v>891.20412699999997</v>
      </c>
      <c r="F101" s="32" t="s">
        <v>187</v>
      </c>
      <c r="G101" s="32" t="s">
        <v>184</v>
      </c>
      <c r="H101" s="32">
        <v>64</v>
      </c>
      <c r="I101" s="32">
        <v>1</v>
      </c>
      <c r="J101" s="32">
        <v>32</v>
      </c>
      <c r="K101" s="32">
        <v>32</v>
      </c>
      <c r="L101" s="32">
        <v>1</v>
      </c>
      <c r="M101" s="32">
        <v>1</v>
      </c>
      <c r="N101" s="32">
        <v>2</v>
      </c>
      <c r="O101" s="32">
        <v>1024</v>
      </c>
      <c r="P101" s="33">
        <f t="shared" si="6"/>
        <v>1.1220773891232216</v>
      </c>
      <c r="Q101">
        <f t="shared" si="4"/>
        <v>1.265568</v>
      </c>
      <c r="R101">
        <v>12.81</v>
      </c>
      <c r="S101">
        <v>3.8508</v>
      </c>
      <c r="X101" s="27" t="s">
        <v>187</v>
      </c>
      <c r="Y101" s="27" t="s">
        <v>234</v>
      </c>
    </row>
    <row r="102" spans="1:25" x14ac:dyDescent="0.25">
      <c r="A102" s="31" t="str">
        <f t="shared" si="5"/>
        <v>./speclibm/l1d.16kB_l1i.128kB</v>
      </c>
      <c r="B102" s="32">
        <v>1.4214199999999999</v>
      </c>
      <c r="C102" s="32">
        <v>0.11131000000000001</v>
      </c>
      <c r="D102" s="32">
        <v>0.70435000000000003</v>
      </c>
      <c r="E102" s="32">
        <v>1079.5783750000001</v>
      </c>
      <c r="F102" s="32" t="s">
        <v>187</v>
      </c>
      <c r="G102" s="32" t="s">
        <v>191</v>
      </c>
      <c r="H102" s="32">
        <v>64</v>
      </c>
      <c r="I102" s="32">
        <v>1</v>
      </c>
      <c r="J102" s="32">
        <v>16</v>
      </c>
      <c r="K102" s="32">
        <v>128</v>
      </c>
      <c r="L102" s="32">
        <v>1</v>
      </c>
      <c r="M102" s="32">
        <v>1</v>
      </c>
      <c r="N102" s="32">
        <v>2</v>
      </c>
      <c r="O102" s="32">
        <v>512</v>
      </c>
      <c r="P102" s="33">
        <f t="shared" si="6"/>
        <v>0.92628754257883317</v>
      </c>
      <c r="Q102">
        <f t="shared" si="4"/>
        <v>1.5327299999999999</v>
      </c>
      <c r="R102">
        <v>13.0039</v>
      </c>
      <c r="S102">
        <v>4.2956300000000001</v>
      </c>
      <c r="X102" s="27" t="s">
        <v>187</v>
      </c>
      <c r="Y102" s="27" t="s">
        <v>235</v>
      </c>
    </row>
    <row r="103" spans="1:25" ht="15.75" thickBot="1" x14ac:dyDescent="0.3">
      <c r="A103" s="34" t="str">
        <f t="shared" si="5"/>
        <v>./speclibm/l2_size.4MB</v>
      </c>
      <c r="B103" s="35">
        <v>1.1553500000000001</v>
      </c>
      <c r="C103" s="35">
        <v>0.125586</v>
      </c>
      <c r="D103" s="35">
        <v>0.70394999999999996</v>
      </c>
      <c r="E103" s="35">
        <v>901.71489699999995</v>
      </c>
      <c r="F103" s="35" t="s">
        <v>187</v>
      </c>
      <c r="G103" s="35" t="s">
        <v>184</v>
      </c>
      <c r="H103" s="35">
        <v>64</v>
      </c>
      <c r="I103" s="35">
        <v>1</v>
      </c>
      <c r="J103" s="35">
        <v>32</v>
      </c>
      <c r="K103" s="35">
        <v>32</v>
      </c>
      <c r="L103" s="35">
        <v>1</v>
      </c>
      <c r="M103" s="35">
        <v>1</v>
      </c>
      <c r="N103" s="35">
        <v>2</v>
      </c>
      <c r="O103" s="35">
        <v>4096</v>
      </c>
      <c r="P103" s="36">
        <f t="shared" si="6"/>
        <v>1.1089979807664196</v>
      </c>
      <c r="Q103">
        <f t="shared" si="4"/>
        <v>1.2809360000000001</v>
      </c>
      <c r="R103">
        <v>21.516200000000001</v>
      </c>
      <c r="S103">
        <v>4.0805100000000003</v>
      </c>
      <c r="X103" s="27" t="s">
        <v>187</v>
      </c>
      <c r="Y103" s="27" t="s">
        <v>236</v>
      </c>
    </row>
    <row r="104" spans="1:25" x14ac:dyDescent="0.25">
      <c r="A104" s="28" t="str">
        <f t="shared" si="5"/>
        <v>./specmcf/l2_size.256kB</v>
      </c>
      <c r="B104" s="29">
        <v>1.1464399999999999</v>
      </c>
      <c r="C104" s="29">
        <v>0.154082</v>
      </c>
      <c r="D104" s="29">
        <v>0.110429</v>
      </c>
      <c r="E104" s="29">
        <v>143.61534399999999</v>
      </c>
      <c r="F104" s="29" t="s">
        <v>188</v>
      </c>
      <c r="G104" s="29" t="s">
        <v>184</v>
      </c>
      <c r="H104" s="29">
        <v>64</v>
      </c>
      <c r="I104" s="29">
        <v>1</v>
      </c>
      <c r="J104" s="29">
        <v>32</v>
      </c>
      <c r="K104" s="29">
        <v>32</v>
      </c>
      <c r="L104" s="29">
        <v>1</v>
      </c>
      <c r="M104" s="29">
        <v>1</v>
      </c>
      <c r="N104" s="29">
        <v>2</v>
      </c>
      <c r="O104" s="29">
        <v>256</v>
      </c>
      <c r="P104" s="30">
        <f t="shared" si="6"/>
        <v>6.963044283067692</v>
      </c>
      <c r="Q104">
        <f t="shared" si="4"/>
        <v>1.300522</v>
      </c>
      <c r="R104">
        <v>10.182499999999999</v>
      </c>
      <c r="S104">
        <v>3.7515200000000002</v>
      </c>
      <c r="X104" s="27" t="s">
        <v>188</v>
      </c>
      <c r="Y104" s="27" t="s">
        <v>203</v>
      </c>
    </row>
    <row r="105" spans="1:25" x14ac:dyDescent="0.25">
      <c r="A105" s="31" t="str">
        <f t="shared" si="5"/>
        <v>./specmcf/l2d_assoc.4</v>
      </c>
      <c r="B105" s="32">
        <v>1.14703</v>
      </c>
      <c r="C105" s="32">
        <v>0.154281</v>
      </c>
      <c r="D105" s="32">
        <v>0.110208</v>
      </c>
      <c r="E105" s="32">
        <v>143.414883</v>
      </c>
      <c r="F105" s="32" t="s">
        <v>188</v>
      </c>
      <c r="G105" s="32" t="s">
        <v>194</v>
      </c>
      <c r="H105" s="32">
        <v>64</v>
      </c>
      <c r="I105" s="32">
        <v>1</v>
      </c>
      <c r="J105" s="32">
        <v>32</v>
      </c>
      <c r="K105" s="32">
        <v>32</v>
      </c>
      <c r="L105" s="32">
        <v>1</v>
      </c>
      <c r="M105" s="32">
        <v>1</v>
      </c>
      <c r="N105" s="32">
        <v>4</v>
      </c>
      <c r="O105" s="32">
        <v>512</v>
      </c>
      <c r="P105" s="33">
        <f t="shared" si="6"/>
        <v>6.9727770164551188</v>
      </c>
      <c r="Q105">
        <f t="shared" si="4"/>
        <v>1.3013110000000001</v>
      </c>
      <c r="R105">
        <v>10.7264</v>
      </c>
      <c r="S105">
        <v>3.7822800000000001</v>
      </c>
      <c r="X105" s="27" t="s">
        <v>188</v>
      </c>
      <c r="Y105" s="27" t="s">
        <v>204</v>
      </c>
    </row>
    <row r="106" spans="1:25" x14ac:dyDescent="0.25">
      <c r="A106" s="31" t="str">
        <f t="shared" si="5"/>
        <v>./specmcf/l1i_assoc.2</v>
      </c>
      <c r="B106" s="32">
        <v>1.14927</v>
      </c>
      <c r="C106" s="32">
        <v>0.154252</v>
      </c>
      <c r="D106" s="32">
        <v>0.110232</v>
      </c>
      <c r="E106" s="32">
        <v>143.68983700000001</v>
      </c>
      <c r="F106" s="32" t="s">
        <v>188</v>
      </c>
      <c r="G106" s="32" t="s">
        <v>193</v>
      </c>
      <c r="H106" s="32">
        <v>64</v>
      </c>
      <c r="I106" s="32">
        <v>1</v>
      </c>
      <c r="J106" s="32">
        <v>32</v>
      </c>
      <c r="K106" s="32">
        <v>32</v>
      </c>
      <c r="L106" s="32">
        <v>1</v>
      </c>
      <c r="M106" s="32">
        <v>2</v>
      </c>
      <c r="N106" s="32">
        <v>2</v>
      </c>
      <c r="O106" s="32">
        <v>512</v>
      </c>
      <c r="P106" s="33">
        <f t="shared" si="6"/>
        <v>6.9594344379414945</v>
      </c>
      <c r="Q106">
        <f t="shared" si="4"/>
        <v>1.3035220000000001</v>
      </c>
      <c r="R106">
        <v>10.7638</v>
      </c>
      <c r="S106">
        <v>3.7873899999999998</v>
      </c>
      <c r="X106" s="27" t="s">
        <v>188</v>
      </c>
      <c r="Y106" s="27" t="s">
        <v>205</v>
      </c>
    </row>
    <row r="107" spans="1:25" x14ac:dyDescent="0.25">
      <c r="A107" s="31" t="str">
        <f t="shared" si="5"/>
        <v>./specmcf/l1d.64kB_l1i.128kB</v>
      </c>
      <c r="B107" s="32">
        <v>1.83192</v>
      </c>
      <c r="C107" s="32">
        <v>0.37742399999999998</v>
      </c>
      <c r="D107" s="32">
        <v>0.109947</v>
      </c>
      <c r="E107" s="32">
        <v>242.91074499999999</v>
      </c>
      <c r="F107" s="32" t="s">
        <v>188</v>
      </c>
      <c r="G107" s="32" t="s">
        <v>191</v>
      </c>
      <c r="H107" s="32">
        <v>64</v>
      </c>
      <c r="I107" s="32">
        <v>1</v>
      </c>
      <c r="J107" s="32">
        <v>64</v>
      </c>
      <c r="K107" s="32">
        <v>128</v>
      </c>
      <c r="L107" s="32">
        <v>1</v>
      </c>
      <c r="M107" s="32">
        <v>1</v>
      </c>
      <c r="N107" s="32">
        <v>2</v>
      </c>
      <c r="O107" s="32">
        <v>512</v>
      </c>
      <c r="P107" s="33">
        <f t="shared" si="6"/>
        <v>4.1167384341108502</v>
      </c>
      <c r="Q107">
        <f t="shared" si="4"/>
        <v>2.2093439999999998</v>
      </c>
      <c r="R107">
        <v>15.683999999999999</v>
      </c>
      <c r="S107">
        <v>5.2115</v>
      </c>
      <c r="X107" s="27" t="s">
        <v>188</v>
      </c>
      <c r="Y107" s="27" t="s">
        <v>206</v>
      </c>
    </row>
    <row r="108" spans="1:25" x14ac:dyDescent="0.25">
      <c r="A108" s="31" t="str">
        <f t="shared" si="5"/>
        <v>./specmcf/l1d.16kB_l1i.32kB</v>
      </c>
      <c r="B108" s="32">
        <v>0.73653299999999999</v>
      </c>
      <c r="C108" s="32">
        <v>0.14941299999999999</v>
      </c>
      <c r="D108" s="32">
        <v>0.11445</v>
      </c>
      <c r="E108" s="32">
        <v>101.39652</v>
      </c>
      <c r="F108" s="32" t="s">
        <v>188</v>
      </c>
      <c r="G108" s="32" t="s">
        <v>191</v>
      </c>
      <c r="H108" s="32">
        <v>64</v>
      </c>
      <c r="I108" s="32">
        <v>1</v>
      </c>
      <c r="J108" s="32">
        <v>16</v>
      </c>
      <c r="K108" s="32">
        <v>32</v>
      </c>
      <c r="L108" s="32">
        <v>1</v>
      </c>
      <c r="M108" s="32">
        <v>1</v>
      </c>
      <c r="N108" s="32">
        <v>2</v>
      </c>
      <c r="O108" s="32">
        <v>512</v>
      </c>
      <c r="P108" s="33">
        <f t="shared" si="6"/>
        <v>9.8622714073421847</v>
      </c>
      <c r="Q108">
        <f t="shared" si="4"/>
        <v>0.88594600000000001</v>
      </c>
      <c r="R108">
        <v>8.2864199999999997</v>
      </c>
      <c r="S108">
        <v>2.7385999999999999</v>
      </c>
      <c r="X108" s="27" t="s">
        <v>188</v>
      </c>
      <c r="Y108" s="27" t="s">
        <v>207</v>
      </c>
    </row>
    <row r="109" spans="1:25" x14ac:dyDescent="0.25">
      <c r="A109" s="31" t="str">
        <f t="shared" si="5"/>
        <v>./specmcf/cpu_clock.1GHz</v>
      </c>
      <c r="B109" s="32">
        <v>1.14703</v>
      </c>
      <c r="C109" s="32">
        <v>0.15427099999999999</v>
      </c>
      <c r="D109" s="32">
        <v>0.110225</v>
      </c>
      <c r="E109" s="32">
        <v>143.435903</v>
      </c>
      <c r="F109" s="32" t="s">
        <v>188</v>
      </c>
      <c r="G109" s="32" t="s">
        <v>195</v>
      </c>
      <c r="H109" s="32">
        <v>64</v>
      </c>
      <c r="I109" s="32">
        <v>1</v>
      </c>
      <c r="J109" s="32">
        <v>32</v>
      </c>
      <c r="K109" s="32">
        <v>32</v>
      </c>
      <c r="L109" s="32">
        <v>1</v>
      </c>
      <c r="M109" s="32">
        <v>1</v>
      </c>
      <c r="N109" s="32">
        <v>2</v>
      </c>
      <c r="O109" s="32">
        <v>512</v>
      </c>
      <c r="P109" s="33">
        <f t="shared" si="6"/>
        <v>6.9717551818250136</v>
      </c>
      <c r="Q109">
        <f t="shared" si="4"/>
        <v>1.301301</v>
      </c>
      <c r="R109">
        <v>10.7277</v>
      </c>
      <c r="S109">
        <v>3.7820100000000001</v>
      </c>
      <c r="X109" s="27" t="s">
        <v>188</v>
      </c>
      <c r="Y109" s="27" t="s">
        <v>208</v>
      </c>
    </row>
    <row r="110" spans="1:25" x14ac:dyDescent="0.25">
      <c r="A110" s="31" t="str">
        <f t="shared" si="5"/>
        <v>./specmcf/l1d.32kB_l1i.64kB</v>
      </c>
      <c r="B110" s="32">
        <v>1.14703</v>
      </c>
      <c r="C110" s="32">
        <v>0.15427099999999999</v>
      </c>
      <c r="D110" s="32">
        <v>0.110225</v>
      </c>
      <c r="E110" s="32">
        <v>143.435903</v>
      </c>
      <c r="F110" s="32" t="s">
        <v>188</v>
      </c>
      <c r="G110" s="32" t="s">
        <v>191</v>
      </c>
      <c r="H110" s="32">
        <v>64</v>
      </c>
      <c r="I110" s="32">
        <v>1</v>
      </c>
      <c r="J110" s="32">
        <v>32</v>
      </c>
      <c r="K110" s="32">
        <v>64</v>
      </c>
      <c r="L110" s="32">
        <v>1</v>
      </c>
      <c r="M110" s="32">
        <v>1</v>
      </c>
      <c r="N110" s="32">
        <v>2</v>
      </c>
      <c r="O110" s="32">
        <v>512</v>
      </c>
      <c r="P110" s="33">
        <f t="shared" si="6"/>
        <v>6.9717551818250136</v>
      </c>
      <c r="Q110">
        <f t="shared" si="4"/>
        <v>1.301301</v>
      </c>
      <c r="R110">
        <v>10.7277</v>
      </c>
      <c r="S110">
        <v>3.7820100000000001</v>
      </c>
      <c r="X110" s="27" t="s">
        <v>188</v>
      </c>
      <c r="Y110" s="27" t="s">
        <v>209</v>
      </c>
    </row>
    <row r="111" spans="1:25" x14ac:dyDescent="0.25">
      <c r="A111" s="31" t="str">
        <f t="shared" si="5"/>
        <v>./specmcf/l2d_assoc.1</v>
      </c>
      <c r="B111" s="32">
        <v>1.1470199999999999</v>
      </c>
      <c r="C111" s="32">
        <v>0.15416099999999999</v>
      </c>
      <c r="D111" s="32">
        <v>0.110362</v>
      </c>
      <c r="E111" s="32">
        <v>143.60093800000001</v>
      </c>
      <c r="F111" s="32" t="s">
        <v>188</v>
      </c>
      <c r="G111" s="32" t="s">
        <v>194</v>
      </c>
      <c r="H111" s="32">
        <v>64</v>
      </c>
      <c r="I111" s="32">
        <v>1</v>
      </c>
      <c r="J111" s="32">
        <v>32</v>
      </c>
      <c r="K111" s="32">
        <v>32</v>
      </c>
      <c r="L111" s="32">
        <v>1</v>
      </c>
      <c r="M111" s="32">
        <v>1</v>
      </c>
      <c r="N111" s="32">
        <v>1</v>
      </c>
      <c r="O111" s="32">
        <v>512</v>
      </c>
      <c r="P111" s="33">
        <f t="shared" si="6"/>
        <v>6.9637428134348252</v>
      </c>
      <c r="Q111">
        <f t="shared" si="4"/>
        <v>1.3011809999999999</v>
      </c>
      <c r="R111">
        <v>10.7286</v>
      </c>
      <c r="S111">
        <v>3.7819699999999998</v>
      </c>
      <c r="X111" s="27" t="s">
        <v>188</v>
      </c>
      <c r="Y111" s="27" t="s">
        <v>210</v>
      </c>
    </row>
    <row r="112" spans="1:25" x14ac:dyDescent="0.25">
      <c r="A112" s="31" t="str">
        <f t="shared" si="5"/>
        <v>./specmcf/l1i_assoc.1</v>
      </c>
      <c r="B112" s="32">
        <v>1.14703</v>
      </c>
      <c r="C112" s="32">
        <v>0.15427099999999999</v>
      </c>
      <c r="D112" s="32">
        <v>0.110225</v>
      </c>
      <c r="E112" s="32">
        <v>143.435903</v>
      </c>
      <c r="F112" s="32" t="s">
        <v>188</v>
      </c>
      <c r="G112" s="32" t="s">
        <v>193</v>
      </c>
      <c r="H112" s="32">
        <v>64</v>
      </c>
      <c r="I112" s="32">
        <v>1</v>
      </c>
      <c r="J112" s="32">
        <v>32</v>
      </c>
      <c r="K112" s="32">
        <v>32</v>
      </c>
      <c r="L112" s="32">
        <v>1</v>
      </c>
      <c r="M112" s="32">
        <v>1</v>
      </c>
      <c r="N112" s="32">
        <v>2</v>
      </c>
      <c r="O112" s="32">
        <v>512</v>
      </c>
      <c r="P112" s="33">
        <f t="shared" si="6"/>
        <v>6.9717551818250136</v>
      </c>
      <c r="Q112">
        <f t="shared" si="4"/>
        <v>1.301301</v>
      </c>
      <c r="R112">
        <v>10.7277</v>
      </c>
      <c r="S112">
        <v>3.7820100000000001</v>
      </c>
      <c r="X112" s="27" t="s">
        <v>188</v>
      </c>
      <c r="Y112" s="27" t="s">
        <v>211</v>
      </c>
    </row>
    <row r="113" spans="1:25" x14ac:dyDescent="0.25">
      <c r="A113" s="31" t="str">
        <f t="shared" si="5"/>
        <v>./specmcf/l1d.32kB_l1i.32kB</v>
      </c>
      <c r="B113" s="32">
        <v>0.74404700000000001</v>
      </c>
      <c r="C113" s="32">
        <v>0.15312700000000001</v>
      </c>
      <c r="D113" s="32">
        <v>0.11278000000000001</v>
      </c>
      <c r="E113" s="32">
        <v>101.183284</v>
      </c>
      <c r="F113" s="32" t="s">
        <v>188</v>
      </c>
      <c r="G113" s="32" t="s">
        <v>191</v>
      </c>
      <c r="H113" s="32">
        <v>64</v>
      </c>
      <c r="I113" s="32">
        <v>1</v>
      </c>
      <c r="J113" s="32">
        <v>32</v>
      </c>
      <c r="K113" s="32">
        <v>32</v>
      </c>
      <c r="L113" s="32">
        <v>1</v>
      </c>
      <c r="M113" s="32">
        <v>1</v>
      </c>
      <c r="N113" s="32">
        <v>2</v>
      </c>
      <c r="O113" s="32">
        <v>512</v>
      </c>
      <c r="P113" s="33">
        <f t="shared" si="6"/>
        <v>9.8830553868957249</v>
      </c>
      <c r="Q113">
        <f t="shared" si="4"/>
        <v>0.89717400000000003</v>
      </c>
      <c r="R113">
        <v>8.3388000000000009</v>
      </c>
      <c r="S113">
        <v>2.7579199999999999</v>
      </c>
      <c r="X113" s="27" t="s">
        <v>188</v>
      </c>
      <c r="Y113" s="27" t="s">
        <v>212</v>
      </c>
    </row>
    <row r="114" spans="1:25" x14ac:dyDescent="0.25">
      <c r="A114" s="31" t="str">
        <f t="shared" si="5"/>
        <v>./specmcf/l1i_assoc.4</v>
      </c>
      <c r="B114" s="32">
        <v>0.87417199999999995</v>
      </c>
      <c r="C114" s="32">
        <v>0.15426200000000001</v>
      </c>
      <c r="D114" s="32">
        <v>0.110224</v>
      </c>
      <c r="E114" s="32">
        <v>113.358109</v>
      </c>
      <c r="F114" s="32" t="s">
        <v>188</v>
      </c>
      <c r="G114" s="32" t="s">
        <v>193</v>
      </c>
      <c r="H114" s="32">
        <v>64</v>
      </c>
      <c r="I114" s="32">
        <v>1</v>
      </c>
      <c r="J114" s="32">
        <v>32</v>
      </c>
      <c r="K114" s="32">
        <v>32</v>
      </c>
      <c r="L114" s="32">
        <v>1</v>
      </c>
      <c r="M114" s="32">
        <v>4</v>
      </c>
      <c r="N114" s="32">
        <v>2</v>
      </c>
      <c r="O114" s="32">
        <v>512</v>
      </c>
      <c r="P114" s="33">
        <f t="shared" si="6"/>
        <v>8.8216009319633226</v>
      </c>
      <c r="Q114">
        <f t="shared" si="4"/>
        <v>1.0284339999999998</v>
      </c>
      <c r="R114">
        <v>9.7305700000000002</v>
      </c>
      <c r="S114">
        <v>3.4842</v>
      </c>
      <c r="X114" s="27" t="s">
        <v>188</v>
      </c>
      <c r="Y114" s="27" t="s">
        <v>213</v>
      </c>
    </row>
    <row r="115" spans="1:25" x14ac:dyDescent="0.25">
      <c r="A115" s="31" t="str">
        <f t="shared" si="5"/>
        <v>./specmcf/l1d.128kB_l1i.16kB</v>
      </c>
      <c r="B115" s="32">
        <v>1.4214199999999999</v>
      </c>
      <c r="C115" s="32">
        <v>0.381164</v>
      </c>
      <c r="D115" s="32">
        <v>0.145347</v>
      </c>
      <c r="E115" s="32">
        <v>262.00017700000001</v>
      </c>
      <c r="F115" s="32" t="s">
        <v>188</v>
      </c>
      <c r="G115" s="32" t="s">
        <v>191</v>
      </c>
      <c r="H115" s="32">
        <v>64</v>
      </c>
      <c r="I115" s="32">
        <v>1</v>
      </c>
      <c r="J115" s="32">
        <v>128</v>
      </c>
      <c r="K115" s="32">
        <v>16</v>
      </c>
      <c r="L115" s="32">
        <v>1</v>
      </c>
      <c r="M115" s="32">
        <v>1</v>
      </c>
      <c r="N115" s="32">
        <v>2</v>
      </c>
      <c r="O115" s="32">
        <v>512</v>
      </c>
      <c r="P115" s="33">
        <f t="shared" si="6"/>
        <v>3.8167913146104473</v>
      </c>
      <c r="Q115">
        <f t="shared" si="4"/>
        <v>1.802584</v>
      </c>
      <c r="R115">
        <v>13.480399999999999</v>
      </c>
      <c r="S115">
        <v>4.1266699999999998</v>
      </c>
      <c r="X115" s="27" t="s">
        <v>188</v>
      </c>
      <c r="Y115" s="27" t="s">
        <v>214</v>
      </c>
    </row>
    <row r="116" spans="1:25" x14ac:dyDescent="0.25">
      <c r="A116" s="31" t="str">
        <f t="shared" si="5"/>
        <v>./specmcf/l1d_assoc.2</v>
      </c>
      <c r="B116" s="32">
        <v>1.1473599999999999</v>
      </c>
      <c r="C116" s="32">
        <v>0.16240199999999999</v>
      </c>
      <c r="D116" s="32">
        <v>0.10981</v>
      </c>
      <c r="E116" s="32">
        <v>143.82496499999999</v>
      </c>
      <c r="F116" s="32" t="s">
        <v>188</v>
      </c>
      <c r="G116" s="32" t="s">
        <v>192</v>
      </c>
      <c r="H116" s="32">
        <v>64</v>
      </c>
      <c r="I116" s="32">
        <v>1</v>
      </c>
      <c r="J116" s="32">
        <v>32</v>
      </c>
      <c r="K116" s="32">
        <v>32</v>
      </c>
      <c r="L116" s="32">
        <v>2</v>
      </c>
      <c r="M116" s="32">
        <v>1</v>
      </c>
      <c r="N116" s="32">
        <v>2</v>
      </c>
      <c r="O116" s="32">
        <v>512</v>
      </c>
      <c r="P116" s="33">
        <f t="shared" si="6"/>
        <v>6.9528958341828906</v>
      </c>
      <c r="Q116">
        <f t="shared" si="4"/>
        <v>1.3097619999999999</v>
      </c>
      <c r="R116">
        <v>10.764200000000001</v>
      </c>
      <c r="S116">
        <v>3.8013499999999998</v>
      </c>
      <c r="X116" s="27" t="s">
        <v>188</v>
      </c>
      <c r="Y116" s="27" t="s">
        <v>215</v>
      </c>
    </row>
    <row r="117" spans="1:25" x14ac:dyDescent="0.25">
      <c r="A117" s="31" t="str">
        <f t="shared" si="5"/>
        <v>./specmcf/l1d.128kB_l1i.128kB</v>
      </c>
      <c r="B117" s="32">
        <v>2.1138300000000001</v>
      </c>
      <c r="C117" s="32">
        <v>0.473134</v>
      </c>
      <c r="D117" s="32">
        <v>0.10975799999999999</v>
      </c>
      <c r="E117" s="32">
        <v>283.93999500000001</v>
      </c>
      <c r="F117" s="32" t="s">
        <v>188</v>
      </c>
      <c r="G117" s="32" t="s">
        <v>191</v>
      </c>
      <c r="H117" s="32">
        <v>64</v>
      </c>
      <c r="I117" s="32">
        <v>1</v>
      </c>
      <c r="J117" s="32">
        <v>128</v>
      </c>
      <c r="K117" s="32">
        <v>128</v>
      </c>
      <c r="L117" s="32">
        <v>1</v>
      </c>
      <c r="M117" s="32">
        <v>1</v>
      </c>
      <c r="N117" s="32">
        <v>2</v>
      </c>
      <c r="O117" s="32">
        <v>512</v>
      </c>
      <c r="P117" s="33">
        <f t="shared" si="6"/>
        <v>3.5218708797962752</v>
      </c>
      <c r="Q117">
        <f t="shared" si="4"/>
        <v>2.586964</v>
      </c>
      <c r="R117">
        <v>18.2455</v>
      </c>
      <c r="S117">
        <v>5.70181</v>
      </c>
      <c r="X117" s="27" t="s">
        <v>188</v>
      </c>
      <c r="Y117" s="27" t="s">
        <v>216</v>
      </c>
    </row>
    <row r="118" spans="1:25" x14ac:dyDescent="0.25">
      <c r="A118" s="31" t="str">
        <f t="shared" si="5"/>
        <v>./specmcf/l2_size.2MB</v>
      </c>
      <c r="B118" s="32">
        <v>1.15062</v>
      </c>
      <c r="C118" s="32">
        <v>0.155027</v>
      </c>
      <c r="D118" s="32">
        <v>0.109768</v>
      </c>
      <c r="E118" s="32">
        <v>143.31826000000001</v>
      </c>
      <c r="F118" s="32" t="s">
        <v>188</v>
      </c>
      <c r="G118" s="32" t="s">
        <v>184</v>
      </c>
      <c r="H118" s="32">
        <v>64</v>
      </c>
      <c r="I118" s="32">
        <v>1</v>
      </c>
      <c r="J118" s="32">
        <v>32</v>
      </c>
      <c r="K118" s="32">
        <v>32</v>
      </c>
      <c r="L118" s="32">
        <v>1</v>
      </c>
      <c r="M118" s="32">
        <v>1</v>
      </c>
      <c r="N118" s="32">
        <v>2</v>
      </c>
      <c r="O118" s="32">
        <v>2048</v>
      </c>
      <c r="P118" s="33">
        <f t="shared" si="6"/>
        <v>6.9774779571005112</v>
      </c>
      <c r="Q118">
        <f t="shared" si="4"/>
        <v>1.305647</v>
      </c>
      <c r="R118">
        <v>16.329799999999999</v>
      </c>
      <c r="S118">
        <v>3.9575200000000001</v>
      </c>
      <c r="X118" s="27" t="s">
        <v>188</v>
      </c>
      <c r="Y118" s="27" t="s">
        <v>217</v>
      </c>
    </row>
    <row r="119" spans="1:25" x14ac:dyDescent="0.25">
      <c r="A119" s="31" t="str">
        <f t="shared" si="5"/>
        <v>./specmcf/l1d_assoc.1</v>
      </c>
      <c r="B119" s="32">
        <v>1.14703</v>
      </c>
      <c r="C119" s="32">
        <v>0.15427099999999999</v>
      </c>
      <c r="D119" s="32">
        <v>0.110225</v>
      </c>
      <c r="E119" s="32">
        <v>143.435903</v>
      </c>
      <c r="F119" s="32" t="s">
        <v>188</v>
      </c>
      <c r="G119" s="32" t="s">
        <v>192</v>
      </c>
      <c r="H119" s="32">
        <v>64</v>
      </c>
      <c r="I119" s="32">
        <v>1</v>
      </c>
      <c r="J119" s="32">
        <v>32</v>
      </c>
      <c r="K119" s="32">
        <v>32</v>
      </c>
      <c r="L119" s="32">
        <v>1</v>
      </c>
      <c r="M119" s="32">
        <v>1</v>
      </c>
      <c r="N119" s="32">
        <v>2</v>
      </c>
      <c r="O119" s="32">
        <v>512</v>
      </c>
      <c r="P119" s="33">
        <f t="shared" si="6"/>
        <v>6.9717551818250136</v>
      </c>
      <c r="Q119">
        <f t="shared" si="4"/>
        <v>1.301301</v>
      </c>
      <c r="R119">
        <v>10.7277</v>
      </c>
      <c r="S119">
        <v>3.7820100000000001</v>
      </c>
      <c r="X119" s="27" t="s">
        <v>188</v>
      </c>
      <c r="Y119" s="27" t="s">
        <v>218</v>
      </c>
    </row>
    <row r="120" spans="1:25" x14ac:dyDescent="0.25">
      <c r="A120" s="31" t="str">
        <f t="shared" si="5"/>
        <v>./specmcf/l1d.32kB_l1i.16kB</v>
      </c>
      <c r="B120" s="32">
        <v>0.73653299999999999</v>
      </c>
      <c r="C120" s="32">
        <v>0.14050699999999999</v>
      </c>
      <c r="D120" s="32">
        <v>0.14570900000000001</v>
      </c>
      <c r="E120" s="32">
        <v>127.792621</v>
      </c>
      <c r="F120" s="32" t="s">
        <v>188</v>
      </c>
      <c r="G120" s="32" t="s">
        <v>191</v>
      </c>
      <c r="H120" s="32">
        <v>64</v>
      </c>
      <c r="I120" s="32">
        <v>1</v>
      </c>
      <c r="J120" s="32">
        <v>32</v>
      </c>
      <c r="K120" s="32">
        <v>16</v>
      </c>
      <c r="L120" s="32">
        <v>1</v>
      </c>
      <c r="M120" s="32">
        <v>1</v>
      </c>
      <c r="N120" s="32">
        <v>2</v>
      </c>
      <c r="O120" s="32">
        <v>512</v>
      </c>
      <c r="P120" s="33">
        <f t="shared" si="6"/>
        <v>7.8251779498285741</v>
      </c>
      <c r="Q120">
        <f t="shared" si="4"/>
        <v>0.87704000000000004</v>
      </c>
      <c r="R120">
        <v>8.2911800000000007</v>
      </c>
      <c r="S120">
        <v>2.7398099999999999</v>
      </c>
      <c r="X120" s="27" t="s">
        <v>188</v>
      </c>
      <c r="Y120" s="27" t="s">
        <v>219</v>
      </c>
    </row>
    <row r="121" spans="1:25" x14ac:dyDescent="0.25">
      <c r="A121" s="31" t="str">
        <f t="shared" si="5"/>
        <v>./specmcf/l1d.64kB_l1i.32kB</v>
      </c>
      <c r="B121" s="32">
        <v>1.14703</v>
      </c>
      <c r="C121" s="32">
        <v>0.37144700000000003</v>
      </c>
      <c r="D121" s="32">
        <v>0.112426</v>
      </c>
      <c r="E121" s="32">
        <v>170.716295</v>
      </c>
      <c r="F121" s="32" t="s">
        <v>188</v>
      </c>
      <c r="G121" s="32" t="s">
        <v>191</v>
      </c>
      <c r="H121" s="32">
        <v>64</v>
      </c>
      <c r="I121" s="32">
        <v>1</v>
      </c>
      <c r="J121" s="32">
        <v>64</v>
      </c>
      <c r="K121" s="32">
        <v>32</v>
      </c>
      <c r="L121" s="32">
        <v>1</v>
      </c>
      <c r="M121" s="32">
        <v>1</v>
      </c>
      <c r="N121" s="32">
        <v>2</v>
      </c>
      <c r="O121" s="32">
        <v>512</v>
      </c>
      <c r="P121" s="33">
        <f t="shared" si="6"/>
        <v>5.8576716417141084</v>
      </c>
      <c r="Q121">
        <f t="shared" si="4"/>
        <v>1.5184770000000001</v>
      </c>
      <c r="R121">
        <v>10.9665</v>
      </c>
      <c r="S121">
        <v>3.6544699999999999</v>
      </c>
      <c r="X121" s="27" t="s">
        <v>188</v>
      </c>
      <c r="Y121" s="27" t="s">
        <v>220</v>
      </c>
    </row>
    <row r="122" spans="1:25" x14ac:dyDescent="0.25">
      <c r="A122" s="31" t="str">
        <f t="shared" si="5"/>
        <v>./specmcf/l1d.64kB_l1i.16kB</v>
      </c>
      <c r="B122" s="32">
        <v>1.13951</v>
      </c>
      <c r="C122" s="32">
        <v>0.30913400000000002</v>
      </c>
      <c r="D122" s="32">
        <v>0.145458</v>
      </c>
      <c r="E122" s="32">
        <v>210.716859</v>
      </c>
      <c r="F122" s="32" t="s">
        <v>188</v>
      </c>
      <c r="G122" s="32" t="s">
        <v>191</v>
      </c>
      <c r="H122" s="32">
        <v>64</v>
      </c>
      <c r="I122" s="32">
        <v>1</v>
      </c>
      <c r="J122" s="32">
        <v>64</v>
      </c>
      <c r="K122" s="32">
        <v>16</v>
      </c>
      <c r="L122" s="32">
        <v>1</v>
      </c>
      <c r="M122" s="32">
        <v>1</v>
      </c>
      <c r="N122" s="32">
        <v>2</v>
      </c>
      <c r="O122" s="32">
        <v>512</v>
      </c>
      <c r="P122" s="33">
        <f t="shared" si="6"/>
        <v>4.7457047563526942</v>
      </c>
      <c r="Q122">
        <f t="shared" si="4"/>
        <v>1.448644</v>
      </c>
      <c r="R122">
        <v>10.918900000000001</v>
      </c>
      <c r="S122">
        <v>3.6363699999999999</v>
      </c>
      <c r="X122" s="27" t="s">
        <v>188</v>
      </c>
      <c r="Y122" s="27" t="s">
        <v>221</v>
      </c>
    </row>
    <row r="123" spans="1:25" x14ac:dyDescent="0.25">
      <c r="A123" s="31" t="str">
        <f t="shared" si="5"/>
        <v>./specmcf/l1d.32kB_l1i.128kB</v>
      </c>
      <c r="B123" s="32">
        <v>1.4289400000000001</v>
      </c>
      <c r="C123" s="32">
        <v>0.15426100000000001</v>
      </c>
      <c r="D123" s="32">
        <v>0.110232</v>
      </c>
      <c r="E123" s="32">
        <v>174.51941299999999</v>
      </c>
      <c r="F123" s="32" t="s">
        <v>188</v>
      </c>
      <c r="G123" s="32" t="s">
        <v>191</v>
      </c>
      <c r="H123" s="32">
        <v>64</v>
      </c>
      <c r="I123" s="32">
        <v>1</v>
      </c>
      <c r="J123" s="32">
        <v>32</v>
      </c>
      <c r="K123" s="32">
        <v>128</v>
      </c>
      <c r="L123" s="32">
        <v>1</v>
      </c>
      <c r="M123" s="32">
        <v>1</v>
      </c>
      <c r="N123" s="32">
        <v>2</v>
      </c>
      <c r="O123" s="32">
        <v>512</v>
      </c>
      <c r="P123" s="33">
        <f t="shared" si="6"/>
        <v>5.7300215649934607</v>
      </c>
      <c r="Q123">
        <f t="shared" si="4"/>
        <v>1.5832010000000001</v>
      </c>
      <c r="R123">
        <v>13.0563</v>
      </c>
      <c r="S123">
        <v>4.31494</v>
      </c>
      <c r="X123" s="27" t="s">
        <v>188</v>
      </c>
      <c r="Y123" s="27" t="s">
        <v>222</v>
      </c>
    </row>
    <row r="124" spans="1:25" x14ac:dyDescent="0.25">
      <c r="A124" s="31" t="str">
        <f t="shared" si="5"/>
        <v>./specmcf/l2d_assoc.2</v>
      </c>
      <c r="B124" s="32">
        <v>1.14703</v>
      </c>
      <c r="C124" s="32">
        <v>0.15427099999999999</v>
      </c>
      <c r="D124" s="32">
        <v>0.110225</v>
      </c>
      <c r="E124" s="32">
        <v>143.435903</v>
      </c>
      <c r="F124" s="32" t="s">
        <v>188</v>
      </c>
      <c r="G124" s="32" t="s">
        <v>194</v>
      </c>
      <c r="H124" s="32">
        <v>64</v>
      </c>
      <c r="I124" s="32">
        <v>1</v>
      </c>
      <c r="J124" s="32">
        <v>32</v>
      </c>
      <c r="K124" s="32">
        <v>32</v>
      </c>
      <c r="L124" s="32">
        <v>1</v>
      </c>
      <c r="M124" s="32">
        <v>1</v>
      </c>
      <c r="N124" s="32">
        <v>2</v>
      </c>
      <c r="O124" s="32">
        <v>512</v>
      </c>
      <c r="P124" s="33">
        <f t="shared" si="6"/>
        <v>6.9717551818250136</v>
      </c>
      <c r="Q124">
        <f t="shared" si="4"/>
        <v>1.301301</v>
      </c>
      <c r="R124">
        <v>10.7277</v>
      </c>
      <c r="S124">
        <v>3.7820100000000001</v>
      </c>
      <c r="X124" s="27" t="s">
        <v>188</v>
      </c>
      <c r="Y124" s="27" t="s">
        <v>223</v>
      </c>
    </row>
    <row r="125" spans="1:25" x14ac:dyDescent="0.25">
      <c r="A125" s="31" t="str">
        <f t="shared" si="5"/>
        <v>./specmcf/l1d_assoc.4</v>
      </c>
      <c r="B125" s="32">
        <v>1.22661</v>
      </c>
      <c r="C125" s="32">
        <v>0.32146400000000003</v>
      </c>
      <c r="D125" s="32">
        <v>0.10976</v>
      </c>
      <c r="E125" s="32">
        <v>169.91660200000001</v>
      </c>
      <c r="F125" s="32" t="s">
        <v>188</v>
      </c>
      <c r="G125" s="32" t="s">
        <v>192</v>
      </c>
      <c r="H125" s="32">
        <v>64</v>
      </c>
      <c r="I125" s="32">
        <v>1</v>
      </c>
      <c r="J125" s="32">
        <v>32</v>
      </c>
      <c r="K125" s="32">
        <v>32</v>
      </c>
      <c r="L125" s="32">
        <v>4</v>
      </c>
      <c r="M125" s="32">
        <v>1</v>
      </c>
      <c r="N125" s="32">
        <v>2</v>
      </c>
      <c r="O125" s="32">
        <v>512</v>
      </c>
      <c r="P125" s="33">
        <f t="shared" si="6"/>
        <v>5.8852401014940261</v>
      </c>
      <c r="Q125">
        <f t="shared" si="4"/>
        <v>1.548074</v>
      </c>
      <c r="R125">
        <v>11.603899999999999</v>
      </c>
      <c r="S125">
        <v>4.2146999999999997</v>
      </c>
      <c r="X125" s="27" t="s">
        <v>188</v>
      </c>
      <c r="Y125" s="27" t="s">
        <v>224</v>
      </c>
    </row>
    <row r="126" spans="1:25" x14ac:dyDescent="0.25">
      <c r="A126" s="31" t="str">
        <f t="shared" si="5"/>
        <v>./specmcf/cacheline.128</v>
      </c>
      <c r="B126" s="32">
        <v>1.1059399999999999</v>
      </c>
      <c r="C126" s="32">
        <v>0.19298399999999999</v>
      </c>
      <c r="D126" s="32">
        <v>0.10883</v>
      </c>
      <c r="E126" s="32">
        <v>141.36189899999999</v>
      </c>
      <c r="F126" s="32" t="s">
        <v>188</v>
      </c>
      <c r="G126" s="32" t="s">
        <v>190</v>
      </c>
      <c r="H126" s="32">
        <v>128</v>
      </c>
      <c r="I126" s="32">
        <v>1</v>
      </c>
      <c r="J126" s="32">
        <v>32</v>
      </c>
      <c r="K126" s="32">
        <v>32</v>
      </c>
      <c r="L126" s="32">
        <v>1</v>
      </c>
      <c r="M126" s="32">
        <v>1</v>
      </c>
      <c r="N126" s="32">
        <v>2</v>
      </c>
      <c r="O126" s="32">
        <v>512</v>
      </c>
      <c r="P126" s="33">
        <f t="shared" si="6"/>
        <v>7.074041924125539</v>
      </c>
      <c r="Q126">
        <f t="shared" si="4"/>
        <v>1.298924</v>
      </c>
      <c r="R126">
        <v>27.278600000000001</v>
      </c>
      <c r="S126">
        <v>8.1870999999999992</v>
      </c>
      <c r="X126" s="27" t="s">
        <v>188</v>
      </c>
      <c r="Y126" s="27" t="s">
        <v>225</v>
      </c>
    </row>
    <row r="127" spans="1:25" x14ac:dyDescent="0.25">
      <c r="A127" s="31" t="str">
        <f t="shared" si="5"/>
        <v>./specmcf/l1d.16kB_l1i.16kB</v>
      </c>
      <c r="B127" s="32">
        <v>0.72901800000000005</v>
      </c>
      <c r="C127" s="32">
        <v>0.137683</v>
      </c>
      <c r="D127" s="32">
        <v>0.14724400000000001</v>
      </c>
      <c r="E127" s="32">
        <v>127.616522</v>
      </c>
      <c r="F127" s="32" t="s">
        <v>188</v>
      </c>
      <c r="G127" s="32" t="s">
        <v>191</v>
      </c>
      <c r="H127" s="32">
        <v>64</v>
      </c>
      <c r="I127" s="32">
        <v>1</v>
      </c>
      <c r="J127" s="32">
        <v>16</v>
      </c>
      <c r="K127" s="32">
        <v>16</v>
      </c>
      <c r="L127" s="32">
        <v>1</v>
      </c>
      <c r="M127" s="32">
        <v>1</v>
      </c>
      <c r="N127" s="32">
        <v>2</v>
      </c>
      <c r="O127" s="32">
        <v>512</v>
      </c>
      <c r="P127" s="33">
        <f t="shared" si="6"/>
        <v>7.8359759718259667</v>
      </c>
      <c r="Q127">
        <f t="shared" si="4"/>
        <v>0.86670100000000005</v>
      </c>
      <c r="R127">
        <v>8.2387999999999995</v>
      </c>
      <c r="S127">
        <v>2.7204899999999999</v>
      </c>
      <c r="X127" s="27" t="s">
        <v>188</v>
      </c>
      <c r="Y127" s="27" t="s">
        <v>226</v>
      </c>
    </row>
    <row r="128" spans="1:25" x14ac:dyDescent="0.25">
      <c r="A128" s="31" t="str">
        <f t="shared" si="5"/>
        <v>./specmcf/l2_size.512kB</v>
      </c>
      <c r="B128" s="32">
        <v>1.14703</v>
      </c>
      <c r="C128" s="32">
        <v>0.15427099999999999</v>
      </c>
      <c r="D128" s="32">
        <v>0.110225</v>
      </c>
      <c r="E128" s="32">
        <v>143.435903</v>
      </c>
      <c r="F128" s="32" t="s">
        <v>188</v>
      </c>
      <c r="G128" s="32" t="s">
        <v>184</v>
      </c>
      <c r="H128" s="32">
        <v>64</v>
      </c>
      <c r="I128" s="32">
        <v>1</v>
      </c>
      <c r="J128" s="32">
        <v>32</v>
      </c>
      <c r="K128" s="32">
        <v>32</v>
      </c>
      <c r="L128" s="32">
        <v>1</v>
      </c>
      <c r="M128" s="32">
        <v>1</v>
      </c>
      <c r="N128" s="32">
        <v>2</v>
      </c>
      <c r="O128" s="32">
        <v>512</v>
      </c>
      <c r="P128" s="33">
        <f t="shared" si="6"/>
        <v>6.9717551818250136</v>
      </c>
      <c r="Q128">
        <f t="shared" si="4"/>
        <v>1.301301</v>
      </c>
      <c r="R128">
        <v>10.7277</v>
      </c>
      <c r="S128">
        <v>3.7820100000000001</v>
      </c>
      <c r="X128" s="27" t="s">
        <v>188</v>
      </c>
      <c r="Y128" s="27" t="s">
        <v>227</v>
      </c>
    </row>
    <row r="129" spans="1:25" x14ac:dyDescent="0.25">
      <c r="A129" s="31" t="str">
        <f t="shared" si="5"/>
        <v>./specmcf/cacheline.64</v>
      </c>
      <c r="B129" s="32">
        <v>1.14703</v>
      </c>
      <c r="C129" s="32">
        <v>0.15427099999999999</v>
      </c>
      <c r="D129" s="32">
        <v>0.110225</v>
      </c>
      <c r="E129" s="32">
        <v>143.435903</v>
      </c>
      <c r="F129" s="32" t="s">
        <v>188</v>
      </c>
      <c r="G129" s="32" t="s">
        <v>190</v>
      </c>
      <c r="H129" s="32">
        <v>64</v>
      </c>
      <c r="I129" s="32">
        <v>1</v>
      </c>
      <c r="J129" s="32">
        <v>32</v>
      </c>
      <c r="K129" s="32">
        <v>32</v>
      </c>
      <c r="L129" s="32">
        <v>1</v>
      </c>
      <c r="M129" s="32">
        <v>1</v>
      </c>
      <c r="N129" s="32">
        <v>2</v>
      </c>
      <c r="O129" s="32">
        <v>512</v>
      </c>
      <c r="P129" s="33">
        <f t="shared" si="6"/>
        <v>6.9717551818250136</v>
      </c>
      <c r="Q129">
        <f t="shared" si="4"/>
        <v>1.301301</v>
      </c>
      <c r="R129">
        <v>10.7277</v>
      </c>
      <c r="S129">
        <v>3.7820100000000001</v>
      </c>
      <c r="X129" s="27" t="s">
        <v>188</v>
      </c>
      <c r="Y129" s="27" t="s">
        <v>228</v>
      </c>
    </row>
    <row r="130" spans="1:25" x14ac:dyDescent="0.25">
      <c r="A130" s="31" t="str">
        <f t="shared" si="5"/>
        <v>./specmcf/l1d.128kB_l1i.32kB</v>
      </c>
      <c r="B130" s="32">
        <v>1.4289400000000001</v>
      </c>
      <c r="C130" s="32">
        <v>0.46485700000000002</v>
      </c>
      <c r="D130" s="32">
        <v>0.11228100000000001</v>
      </c>
      <c r="E130" s="32">
        <v>212.63742099999999</v>
      </c>
      <c r="F130" s="32" t="s">
        <v>188</v>
      </c>
      <c r="G130" s="32" t="s">
        <v>191</v>
      </c>
      <c r="H130" s="32">
        <v>64</v>
      </c>
      <c r="I130" s="32">
        <v>1</v>
      </c>
      <c r="J130" s="32">
        <v>128</v>
      </c>
      <c r="K130" s="32">
        <v>32</v>
      </c>
      <c r="L130" s="32">
        <v>1</v>
      </c>
      <c r="M130" s="32">
        <v>1</v>
      </c>
      <c r="N130" s="32">
        <v>2</v>
      </c>
      <c r="O130" s="32">
        <v>512</v>
      </c>
      <c r="P130" s="33">
        <f t="shared" si="6"/>
        <v>4.7028410864708521</v>
      </c>
      <c r="Q130">
        <f t="shared" si="4"/>
        <v>1.8937970000000002</v>
      </c>
      <c r="R130">
        <v>13.528</v>
      </c>
      <c r="S130">
        <v>4.1447799999999999</v>
      </c>
      <c r="X130" s="27" t="s">
        <v>188</v>
      </c>
      <c r="Y130" s="27" t="s">
        <v>229</v>
      </c>
    </row>
    <row r="131" spans="1:25" x14ac:dyDescent="0.25">
      <c r="A131" s="31" t="str">
        <f t="shared" ref="A131:A171" si="7">"./" &amp; X131 &amp; "/" &amp; TRIM(Y131)</f>
        <v>./specmcf/l1d.16kB_l1i.64kB</v>
      </c>
      <c r="B131" s="32">
        <v>1.13951</v>
      </c>
      <c r="C131" s="32">
        <v>0.15051400000000001</v>
      </c>
      <c r="D131" s="32">
        <v>0.111843</v>
      </c>
      <c r="E131" s="32">
        <v>144.28015400000001</v>
      </c>
      <c r="F131" s="32" t="s">
        <v>188</v>
      </c>
      <c r="G131" s="32" t="s">
        <v>191</v>
      </c>
      <c r="H131" s="32">
        <v>64</v>
      </c>
      <c r="I131" s="32">
        <v>1</v>
      </c>
      <c r="J131" s="32">
        <v>16</v>
      </c>
      <c r="K131" s="32">
        <v>64</v>
      </c>
      <c r="L131" s="32">
        <v>1</v>
      </c>
      <c r="M131" s="32">
        <v>1</v>
      </c>
      <c r="N131" s="32">
        <v>2</v>
      </c>
      <c r="O131" s="32">
        <v>512</v>
      </c>
      <c r="P131" s="33">
        <f t="shared" ref="P131:P171" si="8">1/E131*1000</f>
        <v>6.9309601651797506</v>
      </c>
      <c r="Q131">
        <f t="shared" ref="Q131:Q171" si="9">B131+C131</f>
        <v>1.2900240000000001</v>
      </c>
      <c r="R131">
        <v>10.6753</v>
      </c>
      <c r="S131">
        <v>3.7626900000000001</v>
      </c>
      <c r="X131" s="27" t="s">
        <v>188</v>
      </c>
      <c r="Y131" s="27" t="s">
        <v>230</v>
      </c>
    </row>
    <row r="132" spans="1:25" x14ac:dyDescent="0.25">
      <c r="A132" s="31" t="str">
        <f t="shared" si="7"/>
        <v>./specmcf/cacheline.32</v>
      </c>
      <c r="B132" s="32">
        <v>0.84024299999999996</v>
      </c>
      <c r="C132" s="32">
        <v>0.1447</v>
      </c>
      <c r="D132" s="32">
        <v>0.112946</v>
      </c>
      <c r="E132" s="32">
        <v>111.245372</v>
      </c>
      <c r="F132" s="32" t="s">
        <v>188</v>
      </c>
      <c r="G132" s="32" t="s">
        <v>190</v>
      </c>
      <c r="H132" s="32">
        <v>32</v>
      </c>
      <c r="I132" s="32">
        <v>1</v>
      </c>
      <c r="J132" s="32">
        <v>32</v>
      </c>
      <c r="K132" s="32">
        <v>32</v>
      </c>
      <c r="L132" s="32">
        <v>1</v>
      </c>
      <c r="M132" s="32">
        <v>1</v>
      </c>
      <c r="N132" s="32">
        <v>2</v>
      </c>
      <c r="O132" s="32">
        <v>512</v>
      </c>
      <c r="P132" s="33">
        <f t="shared" si="8"/>
        <v>8.9891379930843325</v>
      </c>
      <c r="Q132">
        <f t="shared" si="9"/>
        <v>0.9849429999999999</v>
      </c>
      <c r="R132">
        <v>8.6724599999999992</v>
      </c>
      <c r="S132">
        <v>2.17171</v>
      </c>
      <c r="X132" s="27" t="s">
        <v>188</v>
      </c>
      <c r="Y132" s="27" t="s">
        <v>231</v>
      </c>
    </row>
    <row r="133" spans="1:25" x14ac:dyDescent="0.25">
      <c r="A133" s="31" t="str">
        <f t="shared" si="7"/>
        <v>./specmcf/l1d.64kB_l1i.64kB</v>
      </c>
      <c r="B133" s="32">
        <v>1.55</v>
      </c>
      <c r="C133" s="32">
        <v>0.377467</v>
      </c>
      <c r="D133" s="32">
        <v>0.109934</v>
      </c>
      <c r="E133" s="32">
        <v>211.89415700000001</v>
      </c>
      <c r="F133" s="32" t="s">
        <v>188</v>
      </c>
      <c r="G133" s="32" t="s">
        <v>191</v>
      </c>
      <c r="H133" s="32">
        <v>64</v>
      </c>
      <c r="I133" s="32">
        <v>1</v>
      </c>
      <c r="J133" s="32">
        <v>64</v>
      </c>
      <c r="K133" s="32">
        <v>64</v>
      </c>
      <c r="L133" s="32">
        <v>1</v>
      </c>
      <c r="M133" s="32">
        <v>1</v>
      </c>
      <c r="N133" s="32">
        <v>2</v>
      </c>
      <c r="O133" s="32">
        <v>512</v>
      </c>
      <c r="P133" s="33">
        <f t="shared" si="8"/>
        <v>4.7193373057474162</v>
      </c>
      <c r="Q133">
        <f t="shared" si="9"/>
        <v>1.927467</v>
      </c>
      <c r="R133">
        <v>13.355399999999999</v>
      </c>
      <c r="S133">
        <v>4.6785699999999997</v>
      </c>
      <c r="X133" s="27" t="s">
        <v>188</v>
      </c>
      <c r="Y133" s="27" t="s">
        <v>232</v>
      </c>
    </row>
    <row r="134" spans="1:25" x14ac:dyDescent="0.25">
      <c r="A134" s="31" t="str">
        <f t="shared" si="7"/>
        <v>./specmcf/l1d.128kB_l1i.64kB</v>
      </c>
      <c r="B134" s="32">
        <v>1.83192</v>
      </c>
      <c r="C134" s="32">
        <v>0.473103</v>
      </c>
      <c r="D134" s="32">
        <v>0.109765</v>
      </c>
      <c r="E134" s="32">
        <v>253.01085</v>
      </c>
      <c r="F134" s="32" t="s">
        <v>188</v>
      </c>
      <c r="G134" s="32" t="s">
        <v>191</v>
      </c>
      <c r="H134" s="32">
        <v>64</v>
      </c>
      <c r="I134" s="32">
        <v>1</v>
      </c>
      <c r="J134" s="32">
        <v>128</v>
      </c>
      <c r="K134" s="32">
        <v>64</v>
      </c>
      <c r="L134" s="32">
        <v>1</v>
      </c>
      <c r="M134" s="32">
        <v>1</v>
      </c>
      <c r="N134" s="32">
        <v>2</v>
      </c>
      <c r="O134" s="32">
        <v>512</v>
      </c>
      <c r="P134" s="33">
        <f t="shared" si="8"/>
        <v>3.9523996698165318</v>
      </c>
      <c r="Q134">
        <f t="shared" si="9"/>
        <v>2.3050229999999998</v>
      </c>
      <c r="R134">
        <v>15.9169</v>
      </c>
      <c r="S134">
        <v>5.1688700000000001</v>
      </c>
      <c r="X134" s="27" t="s">
        <v>188</v>
      </c>
      <c r="Y134" s="27" t="s">
        <v>233</v>
      </c>
    </row>
    <row r="135" spans="1:25" x14ac:dyDescent="0.25">
      <c r="A135" s="31" t="str">
        <f t="shared" si="7"/>
        <v>./specmcf/l2_size.1MB</v>
      </c>
      <c r="B135" s="32">
        <v>1.14855</v>
      </c>
      <c r="C135" s="32">
        <v>0.154582</v>
      </c>
      <c r="D135" s="32">
        <v>0.10997700000000001</v>
      </c>
      <c r="E135" s="32">
        <v>143.314548</v>
      </c>
      <c r="F135" s="32" t="s">
        <v>188</v>
      </c>
      <c r="G135" s="32" t="s">
        <v>184</v>
      </c>
      <c r="H135" s="32">
        <v>64</v>
      </c>
      <c r="I135" s="32">
        <v>1</v>
      </c>
      <c r="J135" s="32">
        <v>32</v>
      </c>
      <c r="K135" s="32">
        <v>32</v>
      </c>
      <c r="L135" s="32">
        <v>1</v>
      </c>
      <c r="M135" s="32">
        <v>1</v>
      </c>
      <c r="N135" s="32">
        <v>2</v>
      </c>
      <c r="O135" s="32">
        <v>1024</v>
      </c>
      <c r="P135" s="33">
        <f t="shared" si="8"/>
        <v>6.9776586812386974</v>
      </c>
      <c r="Q135">
        <f t="shared" si="9"/>
        <v>1.303132</v>
      </c>
      <c r="R135">
        <v>12.81</v>
      </c>
      <c r="S135">
        <v>3.8508</v>
      </c>
      <c r="X135" s="27" t="s">
        <v>188</v>
      </c>
      <c r="Y135" s="27" t="s">
        <v>234</v>
      </c>
    </row>
    <row r="136" spans="1:25" x14ac:dyDescent="0.25">
      <c r="A136" s="31" t="str">
        <f t="shared" si="7"/>
        <v>./specmcf/l1d.16kB_l1i.128kB</v>
      </c>
      <c r="B136" s="32">
        <v>1.4214199999999999</v>
      </c>
      <c r="C136" s="32">
        <v>0.15052199999999999</v>
      </c>
      <c r="D136" s="32">
        <v>0.111835</v>
      </c>
      <c r="E136" s="32">
        <v>175.798134</v>
      </c>
      <c r="F136" s="32" t="s">
        <v>188</v>
      </c>
      <c r="G136" s="32" t="s">
        <v>191</v>
      </c>
      <c r="H136" s="32">
        <v>64</v>
      </c>
      <c r="I136" s="32">
        <v>1</v>
      </c>
      <c r="J136" s="32">
        <v>16</v>
      </c>
      <c r="K136" s="32">
        <v>128</v>
      </c>
      <c r="L136" s="32">
        <v>1</v>
      </c>
      <c r="M136" s="32">
        <v>1</v>
      </c>
      <c r="N136" s="32">
        <v>2</v>
      </c>
      <c r="O136" s="32">
        <v>512</v>
      </c>
      <c r="P136" s="33">
        <f t="shared" si="8"/>
        <v>5.688342516764143</v>
      </c>
      <c r="Q136">
        <f t="shared" si="9"/>
        <v>1.571942</v>
      </c>
      <c r="R136">
        <v>13.0039</v>
      </c>
      <c r="S136">
        <v>4.2956300000000001</v>
      </c>
      <c r="X136" s="27" t="s">
        <v>188</v>
      </c>
      <c r="Y136" s="27" t="s">
        <v>235</v>
      </c>
    </row>
    <row r="137" spans="1:25" ht="15.75" thickBot="1" x14ac:dyDescent="0.3">
      <c r="A137" s="34" t="str">
        <f t="shared" si="7"/>
        <v>./specmcf/l2_size.4MB</v>
      </c>
      <c r="B137" s="35">
        <v>1.1553500000000001</v>
      </c>
      <c r="C137" s="35">
        <v>0.15540799999999999</v>
      </c>
      <c r="D137" s="35">
        <v>0.109752</v>
      </c>
      <c r="E137" s="35">
        <v>143.85831200000001</v>
      </c>
      <c r="F137" s="35" t="s">
        <v>188</v>
      </c>
      <c r="G137" s="35" t="s">
        <v>184</v>
      </c>
      <c r="H137" s="35">
        <v>64</v>
      </c>
      <c r="I137" s="35">
        <v>1</v>
      </c>
      <c r="J137" s="35">
        <v>32</v>
      </c>
      <c r="K137" s="35">
        <v>32</v>
      </c>
      <c r="L137" s="35">
        <v>1</v>
      </c>
      <c r="M137" s="35">
        <v>1</v>
      </c>
      <c r="N137" s="35">
        <v>2</v>
      </c>
      <c r="O137" s="35">
        <v>4096</v>
      </c>
      <c r="P137" s="36">
        <f t="shared" si="8"/>
        <v>6.9512841218378814</v>
      </c>
      <c r="Q137">
        <f t="shared" si="9"/>
        <v>1.3107580000000001</v>
      </c>
      <c r="R137">
        <v>21.516200000000001</v>
      </c>
      <c r="S137">
        <v>4.0805100000000003</v>
      </c>
      <c r="X137" s="27" t="s">
        <v>188</v>
      </c>
      <c r="Y137" s="27" t="s">
        <v>236</v>
      </c>
    </row>
    <row r="138" spans="1:25" x14ac:dyDescent="0.25">
      <c r="A138" s="28" t="str">
        <f t="shared" si="7"/>
        <v>./specsjeng/l2_size.256kB</v>
      </c>
      <c r="B138" s="29">
        <v>1.1464399999999999</v>
      </c>
      <c r="C138" s="29">
        <v>0.142624</v>
      </c>
      <c r="D138" s="29">
        <v>0.123334</v>
      </c>
      <c r="E138" s="29">
        <v>158.98541900000001</v>
      </c>
      <c r="F138" s="29" t="s">
        <v>189</v>
      </c>
      <c r="G138" s="29" t="s">
        <v>184</v>
      </c>
      <c r="H138" s="29">
        <v>64</v>
      </c>
      <c r="I138" s="29">
        <v>1</v>
      </c>
      <c r="J138" s="29">
        <v>32</v>
      </c>
      <c r="K138" s="29">
        <v>32</v>
      </c>
      <c r="L138" s="29">
        <v>1</v>
      </c>
      <c r="M138" s="29">
        <v>1</v>
      </c>
      <c r="N138" s="29">
        <v>2</v>
      </c>
      <c r="O138" s="29">
        <v>256</v>
      </c>
      <c r="P138" s="30">
        <f t="shared" si="8"/>
        <v>6.2898849862451849</v>
      </c>
      <c r="Q138">
        <f t="shared" si="9"/>
        <v>1.289064</v>
      </c>
      <c r="R138">
        <v>10.182499999999999</v>
      </c>
      <c r="S138">
        <v>3.7515200000000002</v>
      </c>
      <c r="X138" s="27" t="s">
        <v>189</v>
      </c>
      <c r="Y138" s="27" t="s">
        <v>203</v>
      </c>
    </row>
    <row r="139" spans="1:25" x14ac:dyDescent="0.25">
      <c r="A139" s="31" t="str">
        <f t="shared" si="7"/>
        <v>./specsjeng/l2d_assoc.4</v>
      </c>
      <c r="B139" s="32">
        <v>1.14703</v>
      </c>
      <c r="C139" s="32">
        <v>0.143376</v>
      </c>
      <c r="D139" s="32">
        <v>0.12323000000000001</v>
      </c>
      <c r="E139" s="32">
        <v>159.01673099999999</v>
      </c>
      <c r="F139" s="32" t="s">
        <v>189</v>
      </c>
      <c r="G139" s="32" t="s">
        <v>194</v>
      </c>
      <c r="H139" s="32">
        <v>64</v>
      </c>
      <c r="I139" s="32">
        <v>1</v>
      </c>
      <c r="J139" s="32">
        <v>32</v>
      </c>
      <c r="K139" s="32">
        <v>32</v>
      </c>
      <c r="L139" s="32">
        <v>1</v>
      </c>
      <c r="M139" s="32">
        <v>1</v>
      </c>
      <c r="N139" s="32">
        <v>4</v>
      </c>
      <c r="O139" s="32">
        <v>512</v>
      </c>
      <c r="P139" s="33">
        <f t="shared" si="8"/>
        <v>6.2886464443794914</v>
      </c>
      <c r="Q139">
        <f t="shared" si="9"/>
        <v>1.2904059999999999</v>
      </c>
      <c r="R139">
        <v>10.7264</v>
      </c>
      <c r="S139">
        <v>3.7822800000000001</v>
      </c>
      <c r="X139" s="27" t="s">
        <v>189</v>
      </c>
      <c r="Y139" s="27" t="s">
        <v>204</v>
      </c>
    </row>
    <row r="140" spans="1:25" x14ac:dyDescent="0.25">
      <c r="A140" s="31" t="str">
        <f t="shared" si="7"/>
        <v>./specsjeng/l1i_assoc.2</v>
      </c>
      <c r="B140" s="32">
        <v>1.14927</v>
      </c>
      <c r="C140" s="32">
        <v>0.14335100000000001</v>
      </c>
      <c r="D140" s="32">
        <v>0.12322900000000001</v>
      </c>
      <c r="E140" s="32">
        <v>159.28839300000001</v>
      </c>
      <c r="F140" s="32" t="s">
        <v>189</v>
      </c>
      <c r="G140" s="32" t="s">
        <v>193</v>
      </c>
      <c r="H140" s="32">
        <v>64</v>
      </c>
      <c r="I140" s="32">
        <v>1</v>
      </c>
      <c r="J140" s="32">
        <v>32</v>
      </c>
      <c r="K140" s="32">
        <v>32</v>
      </c>
      <c r="L140" s="32">
        <v>1</v>
      </c>
      <c r="M140" s="32">
        <v>2</v>
      </c>
      <c r="N140" s="32">
        <v>2</v>
      </c>
      <c r="O140" s="32">
        <v>512</v>
      </c>
      <c r="P140" s="33">
        <f t="shared" si="8"/>
        <v>6.2779213297732239</v>
      </c>
      <c r="Q140">
        <f t="shared" si="9"/>
        <v>1.292621</v>
      </c>
      <c r="R140">
        <v>10.7638</v>
      </c>
      <c r="S140">
        <v>3.7873899999999998</v>
      </c>
      <c r="X140" s="27" t="s">
        <v>189</v>
      </c>
      <c r="Y140" s="27" t="s">
        <v>205</v>
      </c>
    </row>
    <row r="141" spans="1:25" x14ac:dyDescent="0.25">
      <c r="A141" s="31" t="str">
        <f t="shared" si="7"/>
        <v>./specsjeng/l1d.64kB_l1i.128kB</v>
      </c>
      <c r="B141" s="32">
        <v>1.83192</v>
      </c>
      <c r="C141" s="32">
        <v>0.39530100000000001</v>
      </c>
      <c r="D141" s="32">
        <v>0.120848</v>
      </c>
      <c r="E141" s="32">
        <v>269.15520299999997</v>
      </c>
      <c r="F141" s="32" t="s">
        <v>189</v>
      </c>
      <c r="G141" s="32" t="s">
        <v>191</v>
      </c>
      <c r="H141" s="32">
        <v>64</v>
      </c>
      <c r="I141" s="32">
        <v>1</v>
      </c>
      <c r="J141" s="32">
        <v>64</v>
      </c>
      <c r="K141" s="32">
        <v>128</v>
      </c>
      <c r="L141" s="32">
        <v>1</v>
      </c>
      <c r="M141" s="32">
        <v>1</v>
      </c>
      <c r="N141" s="32">
        <v>2</v>
      </c>
      <c r="O141" s="32">
        <v>512</v>
      </c>
      <c r="P141" s="33">
        <f t="shared" si="8"/>
        <v>3.7153285125236835</v>
      </c>
      <c r="Q141">
        <f t="shared" si="9"/>
        <v>2.2272210000000001</v>
      </c>
      <c r="R141">
        <v>15.683999999999999</v>
      </c>
      <c r="S141">
        <v>5.2115</v>
      </c>
      <c r="X141" s="27" t="s">
        <v>189</v>
      </c>
      <c r="Y141" s="27" t="s">
        <v>206</v>
      </c>
    </row>
    <row r="142" spans="1:25" x14ac:dyDescent="0.25">
      <c r="A142" s="31" t="str">
        <f t="shared" si="7"/>
        <v>./specsjeng/l1d.16kB_l1i.32kB</v>
      </c>
      <c r="B142" s="32">
        <v>0.73653299999999999</v>
      </c>
      <c r="C142" s="32">
        <v>0.13977600000000001</v>
      </c>
      <c r="D142" s="32">
        <v>0.12598300000000001</v>
      </c>
      <c r="E142" s="32">
        <v>110.400037</v>
      </c>
      <c r="F142" s="32" t="s">
        <v>189</v>
      </c>
      <c r="G142" s="32" t="s">
        <v>191</v>
      </c>
      <c r="H142" s="32">
        <v>64</v>
      </c>
      <c r="I142" s="32">
        <v>1</v>
      </c>
      <c r="J142" s="32">
        <v>16</v>
      </c>
      <c r="K142" s="32">
        <v>32</v>
      </c>
      <c r="L142" s="32">
        <v>1</v>
      </c>
      <c r="M142" s="32">
        <v>1</v>
      </c>
      <c r="N142" s="32">
        <v>2</v>
      </c>
      <c r="O142" s="32">
        <v>512</v>
      </c>
      <c r="P142" s="33">
        <f t="shared" si="8"/>
        <v>9.0579679787607326</v>
      </c>
      <c r="Q142">
        <f t="shared" si="9"/>
        <v>0.876309</v>
      </c>
      <c r="R142">
        <v>8.2864199999999997</v>
      </c>
      <c r="S142">
        <v>2.7385999999999999</v>
      </c>
      <c r="X142" s="27" t="s">
        <v>189</v>
      </c>
      <c r="Y142" s="27" t="s">
        <v>207</v>
      </c>
    </row>
    <row r="143" spans="1:25" x14ac:dyDescent="0.25">
      <c r="A143" s="31" t="str">
        <f t="shared" si="7"/>
        <v>./specsjeng/cpu_clock.1GHz</v>
      </c>
      <c r="B143" s="32">
        <v>1.14703</v>
      </c>
      <c r="C143" s="32">
        <v>0.14335200000000001</v>
      </c>
      <c r="D143" s="32">
        <v>0.123239</v>
      </c>
      <c r="E143" s="32">
        <v>159.02538699999999</v>
      </c>
      <c r="F143" s="32" t="s">
        <v>189</v>
      </c>
      <c r="G143" s="32" t="s">
        <v>195</v>
      </c>
      <c r="H143" s="32">
        <v>64</v>
      </c>
      <c r="I143" s="32">
        <v>1</v>
      </c>
      <c r="J143" s="32">
        <v>32</v>
      </c>
      <c r="K143" s="32">
        <v>32</v>
      </c>
      <c r="L143" s="32">
        <v>1</v>
      </c>
      <c r="M143" s="32">
        <v>1</v>
      </c>
      <c r="N143" s="32">
        <v>2</v>
      </c>
      <c r="O143" s="32">
        <v>512</v>
      </c>
      <c r="P143" s="33">
        <f t="shared" si="8"/>
        <v>6.2883041435390439</v>
      </c>
      <c r="Q143">
        <f t="shared" si="9"/>
        <v>1.2903819999999999</v>
      </c>
      <c r="R143">
        <v>10.7277</v>
      </c>
      <c r="S143">
        <v>3.7820100000000001</v>
      </c>
      <c r="X143" s="27" t="s">
        <v>189</v>
      </c>
      <c r="Y143" s="27" t="s">
        <v>208</v>
      </c>
    </row>
    <row r="144" spans="1:25" x14ac:dyDescent="0.25">
      <c r="A144" s="31" t="str">
        <f t="shared" si="7"/>
        <v>./specsjeng/l1d.32kB_l1i.64kB</v>
      </c>
      <c r="B144" s="32">
        <v>1.14703</v>
      </c>
      <c r="C144" s="32">
        <v>0.14335200000000001</v>
      </c>
      <c r="D144" s="32">
        <v>0.123239</v>
      </c>
      <c r="E144" s="32">
        <v>159.02538699999999</v>
      </c>
      <c r="F144" s="32" t="s">
        <v>189</v>
      </c>
      <c r="G144" s="32" t="s">
        <v>191</v>
      </c>
      <c r="H144" s="32">
        <v>64</v>
      </c>
      <c r="I144" s="32">
        <v>1</v>
      </c>
      <c r="J144" s="32">
        <v>32</v>
      </c>
      <c r="K144" s="32">
        <v>64</v>
      </c>
      <c r="L144" s="32">
        <v>1</v>
      </c>
      <c r="M144" s="32">
        <v>1</v>
      </c>
      <c r="N144" s="32">
        <v>2</v>
      </c>
      <c r="O144" s="32">
        <v>512</v>
      </c>
      <c r="P144" s="33">
        <f t="shared" si="8"/>
        <v>6.2883041435390439</v>
      </c>
      <c r="Q144">
        <f t="shared" si="9"/>
        <v>1.2903819999999999</v>
      </c>
      <c r="R144">
        <v>10.7277</v>
      </c>
      <c r="S144">
        <v>3.7820100000000001</v>
      </c>
      <c r="X144" s="27" t="s">
        <v>189</v>
      </c>
      <c r="Y144" s="27" t="s">
        <v>209</v>
      </c>
    </row>
    <row r="145" spans="1:25" x14ac:dyDescent="0.25">
      <c r="A145" s="31" t="str">
        <f t="shared" si="7"/>
        <v>./specsjeng/l2d_assoc.1</v>
      </c>
      <c r="B145" s="32">
        <v>1.1470199999999999</v>
      </c>
      <c r="C145" s="32">
        <v>0.14333399999999999</v>
      </c>
      <c r="D145" s="32">
        <v>0.12327100000000001</v>
      </c>
      <c r="E145" s="32">
        <v>159.06322800000001</v>
      </c>
      <c r="F145" s="32" t="s">
        <v>189</v>
      </c>
      <c r="G145" s="32" t="s">
        <v>194</v>
      </c>
      <c r="H145" s="32">
        <v>64</v>
      </c>
      <c r="I145" s="32">
        <v>1</v>
      </c>
      <c r="J145" s="32">
        <v>32</v>
      </c>
      <c r="K145" s="32">
        <v>32</v>
      </c>
      <c r="L145" s="32">
        <v>1</v>
      </c>
      <c r="M145" s="32">
        <v>1</v>
      </c>
      <c r="N145" s="32">
        <v>1</v>
      </c>
      <c r="O145" s="32">
        <v>512</v>
      </c>
      <c r="P145" s="33">
        <f t="shared" si="8"/>
        <v>6.2868081615947089</v>
      </c>
      <c r="Q145">
        <f t="shared" si="9"/>
        <v>1.290354</v>
      </c>
      <c r="R145">
        <v>10.7286</v>
      </c>
      <c r="S145">
        <v>3.7819699999999998</v>
      </c>
      <c r="X145" s="27" t="s">
        <v>189</v>
      </c>
      <c r="Y145" s="27" t="s">
        <v>210</v>
      </c>
    </row>
    <row r="146" spans="1:25" x14ac:dyDescent="0.25">
      <c r="A146" s="31" t="str">
        <f t="shared" si="7"/>
        <v>./specsjeng/l1i_assoc.1</v>
      </c>
      <c r="B146" s="32">
        <v>1.14703</v>
      </c>
      <c r="C146" s="32">
        <v>0.14335200000000001</v>
      </c>
      <c r="D146" s="32">
        <v>0.123239</v>
      </c>
      <c r="E146" s="32">
        <v>159.02538699999999</v>
      </c>
      <c r="F146" s="32" t="s">
        <v>189</v>
      </c>
      <c r="G146" s="32" t="s">
        <v>193</v>
      </c>
      <c r="H146" s="32">
        <v>64</v>
      </c>
      <c r="I146" s="32">
        <v>1</v>
      </c>
      <c r="J146" s="32">
        <v>32</v>
      </c>
      <c r="K146" s="32">
        <v>32</v>
      </c>
      <c r="L146" s="32">
        <v>1</v>
      </c>
      <c r="M146" s="32">
        <v>1</v>
      </c>
      <c r="N146" s="32">
        <v>2</v>
      </c>
      <c r="O146" s="32">
        <v>512</v>
      </c>
      <c r="P146" s="33">
        <f t="shared" si="8"/>
        <v>6.2883041435390439</v>
      </c>
      <c r="Q146">
        <f t="shared" si="9"/>
        <v>1.2903819999999999</v>
      </c>
      <c r="R146">
        <v>10.7277</v>
      </c>
      <c r="S146">
        <v>3.7820100000000001</v>
      </c>
      <c r="X146" s="27" t="s">
        <v>189</v>
      </c>
      <c r="Y146" s="27" t="s">
        <v>211</v>
      </c>
    </row>
    <row r="147" spans="1:25" x14ac:dyDescent="0.25">
      <c r="A147" s="31" t="str">
        <f t="shared" si="7"/>
        <v>./specsjeng/l1d.32kB_l1i.32kB</v>
      </c>
      <c r="B147" s="32">
        <v>0.74404700000000001</v>
      </c>
      <c r="C147" s="32">
        <v>0.14335700000000001</v>
      </c>
      <c r="D147" s="32">
        <v>0.123333</v>
      </c>
      <c r="E147" s="32">
        <v>109.446198</v>
      </c>
      <c r="F147" s="32" t="s">
        <v>189</v>
      </c>
      <c r="G147" s="32" t="s">
        <v>191</v>
      </c>
      <c r="H147" s="32">
        <v>64</v>
      </c>
      <c r="I147" s="32">
        <v>1</v>
      </c>
      <c r="J147" s="32">
        <v>32</v>
      </c>
      <c r="K147" s="32">
        <v>32</v>
      </c>
      <c r="L147" s="32">
        <v>1</v>
      </c>
      <c r="M147" s="32">
        <v>1</v>
      </c>
      <c r="N147" s="32">
        <v>2</v>
      </c>
      <c r="O147" s="32">
        <v>512</v>
      </c>
      <c r="P147" s="33">
        <f t="shared" si="8"/>
        <v>9.1369094429392597</v>
      </c>
      <c r="Q147">
        <f t="shared" si="9"/>
        <v>0.88740400000000008</v>
      </c>
      <c r="R147">
        <v>8.3388000000000009</v>
      </c>
      <c r="S147">
        <v>2.7579199999999999</v>
      </c>
      <c r="X147" s="27" t="s">
        <v>189</v>
      </c>
      <c r="Y147" s="27" t="s">
        <v>212</v>
      </c>
    </row>
    <row r="148" spans="1:25" x14ac:dyDescent="0.25">
      <c r="A148" s="31" t="str">
        <f t="shared" si="7"/>
        <v>./specsjeng/l1i_assoc.4</v>
      </c>
      <c r="B148" s="32">
        <v>0.87417199999999995</v>
      </c>
      <c r="C148" s="32">
        <v>0.143348</v>
      </c>
      <c r="D148" s="32">
        <v>0.123226</v>
      </c>
      <c r="E148" s="32">
        <v>125.38491999999999</v>
      </c>
      <c r="F148" s="32" t="s">
        <v>189</v>
      </c>
      <c r="G148" s="32" t="s">
        <v>193</v>
      </c>
      <c r="H148" s="32">
        <v>64</v>
      </c>
      <c r="I148" s="32">
        <v>1</v>
      </c>
      <c r="J148" s="32">
        <v>32</v>
      </c>
      <c r="K148" s="32">
        <v>32</v>
      </c>
      <c r="L148" s="32">
        <v>1</v>
      </c>
      <c r="M148" s="32">
        <v>4</v>
      </c>
      <c r="N148" s="32">
        <v>2</v>
      </c>
      <c r="O148" s="32">
        <v>512</v>
      </c>
      <c r="P148" s="33">
        <f t="shared" si="8"/>
        <v>7.975440746781989</v>
      </c>
      <c r="Q148">
        <f t="shared" si="9"/>
        <v>1.01752</v>
      </c>
      <c r="R148">
        <v>9.7305700000000002</v>
      </c>
      <c r="S148">
        <v>3.4842</v>
      </c>
      <c r="X148" s="27" t="s">
        <v>189</v>
      </c>
      <c r="Y148" s="27" t="s">
        <v>213</v>
      </c>
    </row>
    <row r="149" spans="1:25" x14ac:dyDescent="0.25">
      <c r="A149" s="31" t="str">
        <f t="shared" si="7"/>
        <v>./specsjeng/l1d.128kB_l1i.16kB</v>
      </c>
      <c r="B149" s="32">
        <v>1.4214199999999999</v>
      </c>
      <c r="C149" s="32">
        <v>0.50389499999999998</v>
      </c>
      <c r="D149" s="32">
        <v>0.119185</v>
      </c>
      <c r="E149" s="32">
        <v>229.46866800000001</v>
      </c>
      <c r="F149" s="32" t="s">
        <v>189</v>
      </c>
      <c r="G149" s="32" t="s">
        <v>191</v>
      </c>
      <c r="H149" s="32">
        <v>64</v>
      </c>
      <c r="I149" s="32">
        <v>1</v>
      </c>
      <c r="J149" s="32">
        <v>128</v>
      </c>
      <c r="K149" s="32">
        <v>16</v>
      </c>
      <c r="L149" s="32">
        <v>1</v>
      </c>
      <c r="M149" s="32">
        <v>1</v>
      </c>
      <c r="N149" s="32">
        <v>2</v>
      </c>
      <c r="O149" s="32">
        <v>512</v>
      </c>
      <c r="P149" s="33">
        <f t="shared" si="8"/>
        <v>4.3578934270887038</v>
      </c>
      <c r="Q149">
        <f t="shared" si="9"/>
        <v>1.9253149999999999</v>
      </c>
      <c r="R149">
        <v>13.480399999999999</v>
      </c>
      <c r="S149">
        <v>4.1266699999999998</v>
      </c>
      <c r="X149" s="27" t="s">
        <v>189</v>
      </c>
      <c r="Y149" s="27" t="s">
        <v>214</v>
      </c>
    </row>
    <row r="150" spans="1:25" x14ac:dyDescent="0.25">
      <c r="A150" s="31" t="str">
        <f t="shared" si="7"/>
        <v>./specsjeng/l1d_assoc.2</v>
      </c>
      <c r="B150" s="32">
        <v>1.1473599999999999</v>
      </c>
      <c r="C150" s="32">
        <v>0.15615899999999999</v>
      </c>
      <c r="D150" s="32">
        <v>0.1188</v>
      </c>
      <c r="E150" s="32">
        <v>154.858057</v>
      </c>
      <c r="F150" s="32" t="s">
        <v>189</v>
      </c>
      <c r="G150" s="32" t="s">
        <v>192</v>
      </c>
      <c r="H150" s="32">
        <v>64</v>
      </c>
      <c r="I150" s="32">
        <v>1</v>
      </c>
      <c r="J150" s="32">
        <v>32</v>
      </c>
      <c r="K150" s="32">
        <v>32</v>
      </c>
      <c r="L150" s="32">
        <v>2</v>
      </c>
      <c r="M150" s="32">
        <v>1</v>
      </c>
      <c r="N150" s="32">
        <v>2</v>
      </c>
      <c r="O150" s="32">
        <v>512</v>
      </c>
      <c r="P150" s="33">
        <f t="shared" si="8"/>
        <v>6.4575264559854313</v>
      </c>
      <c r="Q150">
        <f t="shared" si="9"/>
        <v>1.3035189999999999</v>
      </c>
      <c r="R150">
        <v>10.764200000000001</v>
      </c>
      <c r="S150">
        <v>3.8013499999999998</v>
      </c>
      <c r="X150" s="27" t="s">
        <v>189</v>
      </c>
      <c r="Y150" s="27" t="s">
        <v>215</v>
      </c>
    </row>
    <row r="151" spans="1:25" x14ac:dyDescent="0.25">
      <c r="A151" s="31" t="str">
        <f t="shared" si="7"/>
        <v>./specsjeng/l1d.128kB_l1i.128kB</v>
      </c>
      <c r="B151" s="32">
        <v>2.1138300000000001</v>
      </c>
      <c r="C151" s="32">
        <v>0.50487800000000005</v>
      </c>
      <c r="D151" s="32">
        <v>0.11888600000000001</v>
      </c>
      <c r="E151" s="32">
        <v>311.327719</v>
      </c>
      <c r="F151" s="32" t="s">
        <v>189</v>
      </c>
      <c r="G151" s="32" t="s">
        <v>191</v>
      </c>
      <c r="H151" s="32">
        <v>64</v>
      </c>
      <c r="I151" s="32">
        <v>1</v>
      </c>
      <c r="J151" s="32">
        <v>128</v>
      </c>
      <c r="K151" s="32">
        <v>128</v>
      </c>
      <c r="L151" s="32">
        <v>1</v>
      </c>
      <c r="M151" s="32">
        <v>1</v>
      </c>
      <c r="N151" s="32">
        <v>2</v>
      </c>
      <c r="O151" s="32">
        <v>512</v>
      </c>
      <c r="P151" s="33">
        <f t="shared" si="8"/>
        <v>3.2120493581877301</v>
      </c>
      <c r="Q151">
        <f t="shared" si="9"/>
        <v>2.6187080000000003</v>
      </c>
      <c r="R151">
        <v>18.2455</v>
      </c>
      <c r="S151">
        <v>5.70181</v>
      </c>
      <c r="X151" s="27" t="s">
        <v>189</v>
      </c>
      <c r="Y151" s="27" t="s">
        <v>216</v>
      </c>
    </row>
    <row r="152" spans="1:25" x14ac:dyDescent="0.25">
      <c r="A152" s="31" t="str">
        <f t="shared" si="7"/>
        <v>./specsjeng/l2_size.2MB</v>
      </c>
      <c r="B152" s="32">
        <v>1.15062</v>
      </c>
      <c r="C152" s="32">
        <v>0.14674799999999999</v>
      </c>
      <c r="D152" s="32">
        <v>0.123228</v>
      </c>
      <c r="E152" s="32">
        <v>159.87206399999999</v>
      </c>
      <c r="F152" s="32" t="s">
        <v>189</v>
      </c>
      <c r="G152" s="32" t="s">
        <v>184</v>
      </c>
      <c r="H152" s="32">
        <v>64</v>
      </c>
      <c r="I152" s="32">
        <v>1</v>
      </c>
      <c r="J152" s="32">
        <v>32</v>
      </c>
      <c r="K152" s="32">
        <v>32</v>
      </c>
      <c r="L152" s="32">
        <v>1</v>
      </c>
      <c r="M152" s="32">
        <v>1</v>
      </c>
      <c r="N152" s="32">
        <v>2</v>
      </c>
      <c r="O152" s="32">
        <v>2048</v>
      </c>
      <c r="P152" s="33">
        <f t="shared" si="8"/>
        <v>6.2550014991987588</v>
      </c>
      <c r="Q152">
        <f t="shared" si="9"/>
        <v>1.2973680000000001</v>
      </c>
      <c r="R152">
        <v>16.329799999999999</v>
      </c>
      <c r="S152">
        <v>3.9575200000000001</v>
      </c>
      <c r="X152" s="27" t="s">
        <v>189</v>
      </c>
      <c r="Y152" s="27" t="s">
        <v>217</v>
      </c>
    </row>
    <row r="153" spans="1:25" x14ac:dyDescent="0.25">
      <c r="A153" s="31" t="str">
        <f t="shared" si="7"/>
        <v>./specsjeng/l1d_assoc.1</v>
      </c>
      <c r="B153" s="32">
        <v>1.14703</v>
      </c>
      <c r="C153" s="32">
        <v>0.14335200000000001</v>
      </c>
      <c r="D153" s="32">
        <v>0.123239</v>
      </c>
      <c r="E153" s="32">
        <v>159.02538699999999</v>
      </c>
      <c r="F153" s="32" t="s">
        <v>189</v>
      </c>
      <c r="G153" s="32" t="s">
        <v>192</v>
      </c>
      <c r="H153" s="32">
        <v>64</v>
      </c>
      <c r="I153" s="32">
        <v>1</v>
      </c>
      <c r="J153" s="32">
        <v>32</v>
      </c>
      <c r="K153" s="32">
        <v>32</v>
      </c>
      <c r="L153" s="32">
        <v>1</v>
      </c>
      <c r="M153" s="32">
        <v>1</v>
      </c>
      <c r="N153" s="32">
        <v>2</v>
      </c>
      <c r="O153" s="32">
        <v>512</v>
      </c>
      <c r="P153" s="33">
        <f t="shared" si="8"/>
        <v>6.2883041435390439</v>
      </c>
      <c r="Q153">
        <f t="shared" si="9"/>
        <v>1.2903819999999999</v>
      </c>
      <c r="R153">
        <v>10.7277</v>
      </c>
      <c r="S153">
        <v>3.7820100000000001</v>
      </c>
      <c r="X153" s="27" t="s">
        <v>189</v>
      </c>
      <c r="Y153" s="27" t="s">
        <v>218</v>
      </c>
    </row>
    <row r="154" spans="1:25" x14ac:dyDescent="0.25">
      <c r="A154" s="31" t="str">
        <f t="shared" si="7"/>
        <v>./specsjeng/l1d.32kB_l1i.16kB</v>
      </c>
      <c r="B154" s="32">
        <v>0.73653299999999999</v>
      </c>
      <c r="C154" s="32">
        <v>0.14332</v>
      </c>
      <c r="D154" s="32">
        <v>0.123497</v>
      </c>
      <c r="E154" s="32">
        <v>108.659206</v>
      </c>
      <c r="F154" s="32" t="s">
        <v>189</v>
      </c>
      <c r="G154" s="32" t="s">
        <v>191</v>
      </c>
      <c r="H154" s="32">
        <v>64</v>
      </c>
      <c r="I154" s="32">
        <v>1</v>
      </c>
      <c r="J154" s="32">
        <v>32</v>
      </c>
      <c r="K154" s="32">
        <v>16</v>
      </c>
      <c r="L154" s="32">
        <v>1</v>
      </c>
      <c r="M154" s="32">
        <v>1</v>
      </c>
      <c r="N154" s="32">
        <v>2</v>
      </c>
      <c r="O154" s="32">
        <v>512</v>
      </c>
      <c r="P154" s="33">
        <f t="shared" si="8"/>
        <v>9.2030858388565804</v>
      </c>
      <c r="Q154">
        <f t="shared" si="9"/>
        <v>0.879853</v>
      </c>
      <c r="R154">
        <v>8.2911800000000007</v>
      </c>
      <c r="S154">
        <v>2.7398099999999999</v>
      </c>
      <c r="X154" s="27" t="s">
        <v>189</v>
      </c>
      <c r="Y154" s="27" t="s">
        <v>219</v>
      </c>
    </row>
    <row r="155" spans="1:25" x14ac:dyDescent="0.25">
      <c r="A155" s="31" t="str">
        <f t="shared" si="7"/>
        <v>./specsjeng/l1d.64kB_l1i.32kB</v>
      </c>
      <c r="B155" s="32">
        <v>1.14703</v>
      </c>
      <c r="C155" s="32">
        <v>0.39501799999999998</v>
      </c>
      <c r="D155" s="32">
        <v>0.120972</v>
      </c>
      <c r="E155" s="32">
        <v>186.54463100000001</v>
      </c>
      <c r="F155" s="32" t="s">
        <v>189</v>
      </c>
      <c r="G155" s="32" t="s">
        <v>191</v>
      </c>
      <c r="H155" s="32">
        <v>64</v>
      </c>
      <c r="I155" s="32">
        <v>1</v>
      </c>
      <c r="J155" s="32">
        <v>64</v>
      </c>
      <c r="K155" s="32">
        <v>32</v>
      </c>
      <c r="L155" s="32">
        <v>1</v>
      </c>
      <c r="M155" s="32">
        <v>1</v>
      </c>
      <c r="N155" s="32">
        <v>2</v>
      </c>
      <c r="O155" s="32">
        <v>512</v>
      </c>
      <c r="P155" s="33">
        <f t="shared" si="8"/>
        <v>5.3606474474197006</v>
      </c>
      <c r="Q155">
        <f t="shared" si="9"/>
        <v>1.5420479999999999</v>
      </c>
      <c r="R155">
        <v>10.9665</v>
      </c>
      <c r="S155">
        <v>3.6544699999999999</v>
      </c>
      <c r="X155" s="27" t="s">
        <v>189</v>
      </c>
      <c r="Y155" s="27" t="s">
        <v>220</v>
      </c>
    </row>
    <row r="156" spans="1:25" x14ac:dyDescent="0.25">
      <c r="A156" s="31" t="str">
        <f t="shared" si="7"/>
        <v>./specsjeng/l1d.64kB_l1i.16kB</v>
      </c>
      <c r="B156" s="32">
        <v>1.13951</v>
      </c>
      <c r="C156" s="32">
        <v>0.39460400000000001</v>
      </c>
      <c r="D156" s="32">
        <v>0.121147</v>
      </c>
      <c r="E156" s="32">
        <v>185.853309</v>
      </c>
      <c r="F156" s="32" t="s">
        <v>189</v>
      </c>
      <c r="G156" s="32" t="s">
        <v>191</v>
      </c>
      <c r="H156" s="32">
        <v>64</v>
      </c>
      <c r="I156" s="32">
        <v>1</v>
      </c>
      <c r="J156" s="32">
        <v>64</v>
      </c>
      <c r="K156" s="32">
        <v>16</v>
      </c>
      <c r="L156" s="32">
        <v>1</v>
      </c>
      <c r="M156" s="32">
        <v>1</v>
      </c>
      <c r="N156" s="32">
        <v>2</v>
      </c>
      <c r="O156" s="32">
        <v>512</v>
      </c>
      <c r="P156" s="33">
        <f t="shared" si="8"/>
        <v>5.3805875471391253</v>
      </c>
      <c r="Q156">
        <f t="shared" si="9"/>
        <v>1.534114</v>
      </c>
      <c r="R156">
        <v>10.918900000000001</v>
      </c>
      <c r="S156">
        <v>3.6363699999999999</v>
      </c>
      <c r="X156" s="27" t="s">
        <v>189</v>
      </c>
      <c r="Y156" s="27" t="s">
        <v>221</v>
      </c>
    </row>
    <row r="157" spans="1:25" x14ac:dyDescent="0.25">
      <c r="A157" s="31" t="str">
        <f t="shared" si="7"/>
        <v>./specsjeng/l1d.32kB_l1i.128kB</v>
      </c>
      <c r="B157" s="32">
        <v>1.4289400000000001</v>
      </c>
      <c r="C157" s="32">
        <v>0.14335700000000001</v>
      </c>
      <c r="D157" s="32">
        <v>0.123234</v>
      </c>
      <c r="E157" s="32">
        <v>193.760448</v>
      </c>
      <c r="F157" s="32" t="s">
        <v>189</v>
      </c>
      <c r="G157" s="32" t="s">
        <v>191</v>
      </c>
      <c r="H157" s="32">
        <v>64</v>
      </c>
      <c r="I157" s="32">
        <v>1</v>
      </c>
      <c r="J157" s="32">
        <v>32</v>
      </c>
      <c r="K157" s="32">
        <v>128</v>
      </c>
      <c r="L157" s="32">
        <v>1</v>
      </c>
      <c r="M157" s="32">
        <v>1</v>
      </c>
      <c r="N157" s="32">
        <v>2</v>
      </c>
      <c r="O157" s="32">
        <v>512</v>
      </c>
      <c r="P157" s="33">
        <f t="shared" si="8"/>
        <v>5.161012014175359</v>
      </c>
      <c r="Q157">
        <f t="shared" si="9"/>
        <v>1.5722970000000001</v>
      </c>
      <c r="R157">
        <v>13.0563</v>
      </c>
      <c r="S157">
        <v>4.31494</v>
      </c>
      <c r="X157" s="27" t="s">
        <v>189</v>
      </c>
      <c r="Y157" s="27" t="s">
        <v>222</v>
      </c>
    </row>
    <row r="158" spans="1:25" x14ac:dyDescent="0.25">
      <c r="A158" s="31" t="str">
        <f t="shared" si="7"/>
        <v>./specsjeng/l2d_assoc.2</v>
      </c>
      <c r="B158" s="32">
        <v>1.14703</v>
      </c>
      <c r="C158" s="32">
        <v>0.14335200000000001</v>
      </c>
      <c r="D158" s="32">
        <v>0.123239</v>
      </c>
      <c r="E158" s="32">
        <v>159.02538699999999</v>
      </c>
      <c r="F158" s="32" t="s">
        <v>189</v>
      </c>
      <c r="G158" s="32" t="s">
        <v>194</v>
      </c>
      <c r="H158" s="32">
        <v>64</v>
      </c>
      <c r="I158" s="32">
        <v>1</v>
      </c>
      <c r="J158" s="32">
        <v>32</v>
      </c>
      <c r="K158" s="32">
        <v>32</v>
      </c>
      <c r="L158" s="32">
        <v>1</v>
      </c>
      <c r="M158" s="32">
        <v>1</v>
      </c>
      <c r="N158" s="32">
        <v>2</v>
      </c>
      <c r="O158" s="32">
        <v>512</v>
      </c>
      <c r="P158" s="33">
        <f t="shared" si="8"/>
        <v>6.2883041435390439</v>
      </c>
      <c r="Q158">
        <f t="shared" si="9"/>
        <v>1.2903819999999999</v>
      </c>
      <c r="R158">
        <v>10.7277</v>
      </c>
      <c r="S158">
        <v>3.7820100000000001</v>
      </c>
      <c r="X158" s="27" t="s">
        <v>189</v>
      </c>
      <c r="Y158" s="27" t="s">
        <v>223</v>
      </c>
    </row>
    <row r="159" spans="1:25" x14ac:dyDescent="0.25">
      <c r="A159" s="31" t="str">
        <f t="shared" si="7"/>
        <v>./specsjeng/l1d_assoc.4</v>
      </c>
      <c r="B159" s="32">
        <v>1.22661</v>
      </c>
      <c r="C159" s="32">
        <v>0.30821399999999999</v>
      </c>
      <c r="D159" s="32">
        <v>0.118509</v>
      </c>
      <c r="E159" s="32">
        <v>181.890457</v>
      </c>
      <c r="F159" s="32" t="s">
        <v>189</v>
      </c>
      <c r="G159" s="32" t="s">
        <v>192</v>
      </c>
      <c r="H159" s="32">
        <v>64</v>
      </c>
      <c r="I159" s="32">
        <v>1</v>
      </c>
      <c r="J159" s="32">
        <v>32</v>
      </c>
      <c r="K159" s="32">
        <v>32</v>
      </c>
      <c r="L159" s="32">
        <v>4</v>
      </c>
      <c r="M159" s="32">
        <v>1</v>
      </c>
      <c r="N159" s="32">
        <v>2</v>
      </c>
      <c r="O159" s="32">
        <v>512</v>
      </c>
      <c r="P159" s="33">
        <f t="shared" si="8"/>
        <v>5.4978145444980662</v>
      </c>
      <c r="Q159">
        <f t="shared" si="9"/>
        <v>1.534824</v>
      </c>
      <c r="R159">
        <v>11.603899999999999</v>
      </c>
      <c r="S159">
        <v>4.2146999999999997</v>
      </c>
      <c r="X159" s="27" t="s">
        <v>189</v>
      </c>
      <c r="Y159" s="27" t="s">
        <v>224</v>
      </c>
    </row>
    <row r="160" spans="1:25" x14ac:dyDescent="0.25">
      <c r="A160" s="31" t="str">
        <f t="shared" si="7"/>
        <v>./specsjeng/cacheline.128</v>
      </c>
      <c r="B160" s="32">
        <v>1.1059399999999999</v>
      </c>
      <c r="C160" s="32">
        <v>0.19983600000000001</v>
      </c>
      <c r="D160" s="32">
        <v>0.124304</v>
      </c>
      <c r="E160" s="32">
        <v>162.31317999999999</v>
      </c>
      <c r="F160" s="32" t="s">
        <v>189</v>
      </c>
      <c r="G160" s="32" t="s">
        <v>190</v>
      </c>
      <c r="H160" s="32">
        <v>128</v>
      </c>
      <c r="I160" s="32">
        <v>1</v>
      </c>
      <c r="J160" s="32">
        <v>32</v>
      </c>
      <c r="K160" s="32">
        <v>32</v>
      </c>
      <c r="L160" s="32">
        <v>1</v>
      </c>
      <c r="M160" s="32">
        <v>1</v>
      </c>
      <c r="N160" s="32">
        <v>2</v>
      </c>
      <c r="O160" s="32">
        <v>512</v>
      </c>
      <c r="P160" s="33">
        <f t="shared" si="8"/>
        <v>6.1609291371162831</v>
      </c>
      <c r="Q160">
        <f t="shared" si="9"/>
        <v>1.3057759999999998</v>
      </c>
      <c r="R160">
        <v>27.278600000000001</v>
      </c>
      <c r="S160">
        <v>8.1870999999999992</v>
      </c>
      <c r="X160" s="27" t="s">
        <v>189</v>
      </c>
      <c r="Y160" s="27" t="s">
        <v>225</v>
      </c>
    </row>
    <row r="161" spans="1:25" x14ac:dyDescent="0.25">
      <c r="A161" s="31" t="str">
        <f t="shared" si="7"/>
        <v>./specsjeng/l1d.16kB_l1i.16kB</v>
      </c>
      <c r="B161" s="32">
        <v>0.72901800000000005</v>
      </c>
      <c r="C161" s="32">
        <v>0.13974900000000001</v>
      </c>
      <c r="D161" s="32">
        <v>0.12614400000000001</v>
      </c>
      <c r="E161" s="32">
        <v>109.589744</v>
      </c>
      <c r="F161" s="32" t="s">
        <v>189</v>
      </c>
      <c r="G161" s="32" t="s">
        <v>191</v>
      </c>
      <c r="H161" s="32">
        <v>64</v>
      </c>
      <c r="I161" s="32">
        <v>1</v>
      </c>
      <c r="J161" s="32">
        <v>16</v>
      </c>
      <c r="K161" s="32">
        <v>16</v>
      </c>
      <c r="L161" s="32">
        <v>1</v>
      </c>
      <c r="M161" s="32">
        <v>1</v>
      </c>
      <c r="N161" s="32">
        <v>2</v>
      </c>
      <c r="O161" s="32">
        <v>512</v>
      </c>
      <c r="P161" s="33">
        <f t="shared" si="8"/>
        <v>9.1249414726253946</v>
      </c>
      <c r="Q161">
        <f t="shared" si="9"/>
        <v>0.86876700000000007</v>
      </c>
      <c r="R161">
        <v>8.2387999999999995</v>
      </c>
      <c r="S161">
        <v>2.7204899999999999</v>
      </c>
      <c r="X161" s="27" t="s">
        <v>189</v>
      </c>
      <c r="Y161" s="27" t="s">
        <v>226</v>
      </c>
    </row>
    <row r="162" spans="1:25" x14ac:dyDescent="0.25">
      <c r="A162" s="31" t="str">
        <f t="shared" si="7"/>
        <v>./specsjeng/l2_size.512kB</v>
      </c>
      <c r="B162" s="32">
        <v>1.14703</v>
      </c>
      <c r="C162" s="32">
        <v>0.14335200000000001</v>
      </c>
      <c r="D162" s="32">
        <v>0.123239</v>
      </c>
      <c r="E162" s="32">
        <v>159.02538699999999</v>
      </c>
      <c r="F162" s="32" t="s">
        <v>189</v>
      </c>
      <c r="G162" s="32" t="s">
        <v>184</v>
      </c>
      <c r="H162" s="32">
        <v>64</v>
      </c>
      <c r="I162" s="32">
        <v>1</v>
      </c>
      <c r="J162" s="32">
        <v>32</v>
      </c>
      <c r="K162" s="32">
        <v>32</v>
      </c>
      <c r="L162" s="32">
        <v>1</v>
      </c>
      <c r="M162" s="32">
        <v>1</v>
      </c>
      <c r="N162" s="32">
        <v>2</v>
      </c>
      <c r="O162" s="32">
        <v>512</v>
      </c>
      <c r="P162" s="33">
        <f t="shared" si="8"/>
        <v>6.2883041435390439</v>
      </c>
      <c r="Q162">
        <f t="shared" si="9"/>
        <v>1.2903819999999999</v>
      </c>
      <c r="R162">
        <v>10.7277</v>
      </c>
      <c r="S162">
        <v>3.7820100000000001</v>
      </c>
      <c r="X162" s="27" t="s">
        <v>189</v>
      </c>
      <c r="Y162" s="27" t="s">
        <v>227</v>
      </c>
    </row>
    <row r="163" spans="1:25" x14ac:dyDescent="0.25">
      <c r="A163" s="31" t="str">
        <f t="shared" si="7"/>
        <v>./specsjeng/cacheline.64</v>
      </c>
      <c r="B163" s="32">
        <v>1.14703</v>
      </c>
      <c r="C163" s="32">
        <v>0.14335200000000001</v>
      </c>
      <c r="D163" s="32">
        <v>0.123239</v>
      </c>
      <c r="E163" s="32">
        <v>159.02538699999999</v>
      </c>
      <c r="F163" s="32" t="s">
        <v>189</v>
      </c>
      <c r="G163" s="32" t="s">
        <v>190</v>
      </c>
      <c r="H163" s="32">
        <v>64</v>
      </c>
      <c r="I163" s="32">
        <v>1</v>
      </c>
      <c r="J163" s="32">
        <v>32</v>
      </c>
      <c r="K163" s="32">
        <v>32</v>
      </c>
      <c r="L163" s="32">
        <v>1</v>
      </c>
      <c r="M163" s="32">
        <v>1</v>
      </c>
      <c r="N163" s="32">
        <v>2</v>
      </c>
      <c r="O163" s="32">
        <v>512</v>
      </c>
      <c r="P163" s="33">
        <f t="shared" si="8"/>
        <v>6.2883041435390439</v>
      </c>
      <c r="Q163">
        <f t="shared" si="9"/>
        <v>1.2903819999999999</v>
      </c>
      <c r="R163">
        <v>10.7277</v>
      </c>
      <c r="S163">
        <v>3.7820100000000001</v>
      </c>
      <c r="X163" s="27" t="s">
        <v>189</v>
      </c>
      <c r="Y163" s="27" t="s">
        <v>228</v>
      </c>
    </row>
    <row r="164" spans="1:25" x14ac:dyDescent="0.25">
      <c r="A164" s="31" t="str">
        <f t="shared" si="7"/>
        <v>./specsjeng/l1d.128kB_l1i.32kB</v>
      </c>
      <c r="B164" s="32">
        <v>1.4289400000000001</v>
      </c>
      <c r="C164" s="32">
        <v>0.50446500000000005</v>
      </c>
      <c r="D164" s="32">
        <v>0.11901299999999999</v>
      </c>
      <c r="E164" s="32">
        <v>230.10032899999999</v>
      </c>
      <c r="F164" s="32" t="s">
        <v>189</v>
      </c>
      <c r="G164" s="32" t="s">
        <v>191</v>
      </c>
      <c r="H164" s="32">
        <v>64</v>
      </c>
      <c r="I164" s="32">
        <v>1</v>
      </c>
      <c r="J164" s="32">
        <v>128</v>
      </c>
      <c r="K164" s="32">
        <v>32</v>
      </c>
      <c r="L164" s="32">
        <v>1</v>
      </c>
      <c r="M164" s="32">
        <v>1</v>
      </c>
      <c r="N164" s="32">
        <v>2</v>
      </c>
      <c r="O164" s="32">
        <v>512</v>
      </c>
      <c r="P164" s="33">
        <f t="shared" si="8"/>
        <v>4.3459303354581467</v>
      </c>
      <c r="Q164">
        <f t="shared" si="9"/>
        <v>1.933405</v>
      </c>
      <c r="R164">
        <v>13.528</v>
      </c>
      <c r="S164">
        <v>4.1447799999999999</v>
      </c>
      <c r="X164" s="27" t="s">
        <v>189</v>
      </c>
      <c r="Y164" s="27" t="s">
        <v>229</v>
      </c>
    </row>
    <row r="165" spans="1:25" x14ac:dyDescent="0.25">
      <c r="A165" s="31" t="str">
        <f t="shared" si="7"/>
        <v>./specsjeng/l1d.16kB_l1i.64kB</v>
      </c>
      <c r="B165" s="32">
        <v>1.13951</v>
      </c>
      <c r="C165" s="32">
        <v>0.13974700000000001</v>
      </c>
      <c r="D165" s="32">
        <v>0.125912</v>
      </c>
      <c r="E165" s="32">
        <v>161.07380699999999</v>
      </c>
      <c r="F165" s="32" t="s">
        <v>189</v>
      </c>
      <c r="G165" s="32" t="s">
        <v>191</v>
      </c>
      <c r="H165" s="32">
        <v>64</v>
      </c>
      <c r="I165" s="32">
        <v>1</v>
      </c>
      <c r="J165" s="32">
        <v>16</v>
      </c>
      <c r="K165" s="32">
        <v>64</v>
      </c>
      <c r="L165" s="32">
        <v>1</v>
      </c>
      <c r="M165" s="32">
        <v>1</v>
      </c>
      <c r="N165" s="32">
        <v>2</v>
      </c>
      <c r="O165" s="32">
        <v>512</v>
      </c>
      <c r="P165" s="33">
        <f t="shared" si="8"/>
        <v>6.2083340465157075</v>
      </c>
      <c r="Q165">
        <f t="shared" si="9"/>
        <v>1.2792570000000001</v>
      </c>
      <c r="R165">
        <v>10.6753</v>
      </c>
      <c r="S165">
        <v>3.7626900000000001</v>
      </c>
      <c r="X165" s="27" t="s">
        <v>189</v>
      </c>
      <c r="Y165" s="27" t="s">
        <v>230</v>
      </c>
    </row>
    <row r="166" spans="1:25" x14ac:dyDescent="0.25">
      <c r="A166" s="31" t="str">
        <f t="shared" si="7"/>
        <v>./specsjeng/cacheline.32</v>
      </c>
      <c r="B166" s="32">
        <v>0.84024299999999996</v>
      </c>
      <c r="C166" s="32">
        <v>0.134912</v>
      </c>
      <c r="D166" s="32">
        <v>0.122532</v>
      </c>
      <c r="E166" s="32">
        <v>119.487692</v>
      </c>
      <c r="F166" s="32" t="s">
        <v>189</v>
      </c>
      <c r="G166" s="32" t="s">
        <v>190</v>
      </c>
      <c r="H166" s="32">
        <v>32</v>
      </c>
      <c r="I166" s="32">
        <v>1</v>
      </c>
      <c r="J166" s="32">
        <v>32</v>
      </c>
      <c r="K166" s="32">
        <v>32</v>
      </c>
      <c r="L166" s="32">
        <v>1</v>
      </c>
      <c r="M166" s="32">
        <v>1</v>
      </c>
      <c r="N166" s="32">
        <v>2</v>
      </c>
      <c r="O166" s="32">
        <v>512</v>
      </c>
      <c r="P166" s="33">
        <f t="shared" si="8"/>
        <v>8.3690628152730575</v>
      </c>
      <c r="Q166">
        <f t="shared" si="9"/>
        <v>0.97515499999999999</v>
      </c>
      <c r="R166">
        <v>8.6724599999999992</v>
      </c>
      <c r="S166">
        <v>2.17171</v>
      </c>
      <c r="X166" s="27" t="s">
        <v>189</v>
      </c>
      <c r="Y166" s="27" t="s">
        <v>231</v>
      </c>
    </row>
    <row r="167" spans="1:25" x14ac:dyDescent="0.25">
      <c r="A167" s="31" t="str">
        <f t="shared" si="7"/>
        <v>./specsjeng/l1d.64kB_l1i.64kB</v>
      </c>
      <c r="B167" s="32">
        <v>1.55</v>
      </c>
      <c r="C167" s="32">
        <v>0.39528200000000002</v>
      </c>
      <c r="D167" s="32">
        <v>0.120854</v>
      </c>
      <c r="E167" s="32">
        <v>235.095111</v>
      </c>
      <c r="F167" s="32" t="s">
        <v>189</v>
      </c>
      <c r="G167" s="32" t="s">
        <v>191</v>
      </c>
      <c r="H167" s="32">
        <v>64</v>
      </c>
      <c r="I167" s="32">
        <v>1</v>
      </c>
      <c r="J167" s="32">
        <v>64</v>
      </c>
      <c r="K167" s="32">
        <v>64</v>
      </c>
      <c r="L167" s="32">
        <v>1</v>
      </c>
      <c r="M167" s="32">
        <v>1</v>
      </c>
      <c r="N167" s="32">
        <v>2</v>
      </c>
      <c r="O167" s="32">
        <v>512</v>
      </c>
      <c r="P167" s="33">
        <f t="shared" si="8"/>
        <v>4.253597600334615</v>
      </c>
      <c r="Q167">
        <f t="shared" si="9"/>
        <v>1.9452820000000002</v>
      </c>
      <c r="R167">
        <v>13.355399999999999</v>
      </c>
      <c r="S167">
        <v>4.6785699999999997</v>
      </c>
      <c r="X167" s="27" t="s">
        <v>189</v>
      </c>
      <c r="Y167" s="27" t="s">
        <v>232</v>
      </c>
    </row>
    <row r="168" spans="1:25" x14ac:dyDescent="0.25">
      <c r="A168" s="31" t="str">
        <f t="shared" si="7"/>
        <v>./specsjeng/l1d.128kB_l1i.64kB</v>
      </c>
      <c r="B168" s="32">
        <v>1.83192</v>
      </c>
      <c r="C168" s="32">
        <v>0.50486399999999998</v>
      </c>
      <c r="D168" s="32">
        <v>0.11889</v>
      </c>
      <c r="E168" s="32">
        <v>277.82024999999999</v>
      </c>
      <c r="F168" s="32" t="s">
        <v>189</v>
      </c>
      <c r="G168" s="32" t="s">
        <v>191</v>
      </c>
      <c r="H168" s="32">
        <v>64</v>
      </c>
      <c r="I168" s="32">
        <v>1</v>
      </c>
      <c r="J168" s="32">
        <v>128</v>
      </c>
      <c r="K168" s="32">
        <v>64</v>
      </c>
      <c r="L168" s="32">
        <v>1</v>
      </c>
      <c r="M168" s="32">
        <v>1</v>
      </c>
      <c r="N168" s="32">
        <v>2</v>
      </c>
      <c r="O168" s="32">
        <v>512</v>
      </c>
      <c r="P168" s="33">
        <f t="shared" si="8"/>
        <v>3.5994496441494097</v>
      </c>
      <c r="Q168">
        <f t="shared" si="9"/>
        <v>2.3367839999999998</v>
      </c>
      <c r="R168">
        <v>15.9169</v>
      </c>
      <c r="S168">
        <v>5.1688700000000001</v>
      </c>
      <c r="X168" s="27" t="s">
        <v>189</v>
      </c>
      <c r="Y168" s="27" t="s">
        <v>233</v>
      </c>
    </row>
    <row r="169" spans="1:25" x14ac:dyDescent="0.25">
      <c r="A169" s="31" t="str">
        <f t="shared" si="7"/>
        <v>./specsjeng/l2_size.1MB</v>
      </c>
      <c r="B169" s="32">
        <v>1.14855</v>
      </c>
      <c r="C169" s="32">
        <v>0.14468800000000001</v>
      </c>
      <c r="D169" s="32">
        <v>0.123228</v>
      </c>
      <c r="E169" s="32">
        <v>159.36313200000001</v>
      </c>
      <c r="F169" s="32" t="s">
        <v>189</v>
      </c>
      <c r="G169" s="32" t="s">
        <v>184</v>
      </c>
      <c r="H169" s="32">
        <v>64</v>
      </c>
      <c r="I169" s="32">
        <v>1</v>
      </c>
      <c r="J169" s="32">
        <v>32</v>
      </c>
      <c r="K169" s="32">
        <v>32</v>
      </c>
      <c r="L169" s="32">
        <v>1</v>
      </c>
      <c r="M169" s="32">
        <v>1</v>
      </c>
      <c r="N169" s="32">
        <v>2</v>
      </c>
      <c r="O169" s="32">
        <v>1024</v>
      </c>
      <c r="P169" s="33">
        <f t="shared" si="8"/>
        <v>6.2749770756262491</v>
      </c>
      <c r="Q169">
        <f t="shared" si="9"/>
        <v>1.2932379999999999</v>
      </c>
      <c r="R169">
        <v>12.81</v>
      </c>
      <c r="S169">
        <v>3.8508</v>
      </c>
      <c r="X169" s="27" t="s">
        <v>189</v>
      </c>
      <c r="Y169" s="27" t="s">
        <v>234</v>
      </c>
    </row>
    <row r="170" spans="1:25" x14ac:dyDescent="0.25">
      <c r="A170" s="31" t="str">
        <f t="shared" si="7"/>
        <v>./specsjeng/l1d.16kB_l1i.128kB</v>
      </c>
      <c r="B170" s="32">
        <v>1.4214199999999999</v>
      </c>
      <c r="C170" s="32">
        <v>0.13975199999999999</v>
      </c>
      <c r="D170" s="32">
        <v>0.12590699999999999</v>
      </c>
      <c r="E170" s="32">
        <v>196.56248299999999</v>
      </c>
      <c r="F170" s="32" t="s">
        <v>189</v>
      </c>
      <c r="G170" s="32" t="s">
        <v>191</v>
      </c>
      <c r="H170" s="32">
        <v>64</v>
      </c>
      <c r="I170" s="32">
        <v>1</v>
      </c>
      <c r="J170" s="32">
        <v>16</v>
      </c>
      <c r="K170" s="32">
        <v>128</v>
      </c>
      <c r="L170" s="32">
        <v>1</v>
      </c>
      <c r="M170" s="32">
        <v>1</v>
      </c>
      <c r="N170" s="32">
        <v>2</v>
      </c>
      <c r="O170" s="32">
        <v>512</v>
      </c>
      <c r="P170" s="33">
        <f t="shared" si="8"/>
        <v>5.087440821552911</v>
      </c>
      <c r="Q170">
        <f t="shared" si="9"/>
        <v>1.561172</v>
      </c>
      <c r="R170">
        <v>13.0039</v>
      </c>
      <c r="S170">
        <v>4.2956300000000001</v>
      </c>
      <c r="X170" s="27" t="s">
        <v>189</v>
      </c>
      <c r="Y170" s="27" t="s">
        <v>235</v>
      </c>
    </row>
    <row r="171" spans="1:25" ht="15.75" thickBot="1" x14ac:dyDescent="0.3">
      <c r="A171" s="34" t="str">
        <f t="shared" si="7"/>
        <v>./specsjeng/l2_size.4MB</v>
      </c>
      <c r="B171" s="35">
        <v>1.1553500000000001</v>
      </c>
      <c r="C171" s="35">
        <v>0.149005</v>
      </c>
      <c r="D171" s="35">
        <v>0.123228</v>
      </c>
      <c r="E171" s="35">
        <v>160.733058</v>
      </c>
      <c r="F171" s="35" t="s">
        <v>189</v>
      </c>
      <c r="G171" s="35" t="s">
        <v>184</v>
      </c>
      <c r="H171" s="35">
        <v>64</v>
      </c>
      <c r="I171" s="35">
        <v>1</v>
      </c>
      <c r="J171" s="35">
        <v>32</v>
      </c>
      <c r="K171" s="35">
        <v>32</v>
      </c>
      <c r="L171" s="35">
        <v>1</v>
      </c>
      <c r="M171" s="35">
        <v>1</v>
      </c>
      <c r="N171" s="35">
        <v>2</v>
      </c>
      <c r="O171" s="35">
        <v>4096</v>
      </c>
      <c r="P171" s="36">
        <f t="shared" si="8"/>
        <v>6.2214955183643674</v>
      </c>
      <c r="Q171">
        <f t="shared" si="9"/>
        <v>1.3043550000000002</v>
      </c>
      <c r="R171">
        <v>21.516200000000001</v>
      </c>
      <c r="S171">
        <v>4.0805100000000003</v>
      </c>
      <c r="X171" s="27" t="s">
        <v>189</v>
      </c>
      <c r="Y171" s="27" t="s">
        <v>236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F906C-15CB-40FC-BA83-0AD6BAF6CD90}">
  <sheetPr codeName="Sheet3"/>
  <dimension ref="A2:D25"/>
  <sheetViews>
    <sheetView workbookViewId="0">
      <selection activeCell="O26" sqref="O26"/>
    </sheetView>
  </sheetViews>
  <sheetFormatPr defaultRowHeight="15" x14ac:dyDescent="0.25"/>
  <cols>
    <col min="1" max="1" width="13.28515625" bestFit="1" customWidth="1"/>
    <col min="2" max="2" width="12.7109375" bestFit="1" customWidth="1"/>
    <col min="3" max="3" width="9" bestFit="1" customWidth="1"/>
    <col min="4" max="4" width="12" bestFit="1" customWidth="1"/>
    <col min="5" max="5" width="9" bestFit="1" customWidth="1"/>
    <col min="6" max="6" width="12" bestFit="1" customWidth="1"/>
    <col min="7" max="7" width="9" bestFit="1" customWidth="1"/>
    <col min="8" max="8" width="11.42578125" bestFit="1" customWidth="1"/>
    <col min="9" max="10" width="9" bestFit="1" customWidth="1"/>
    <col min="11" max="11" width="9.7109375" bestFit="1" customWidth="1"/>
    <col min="12" max="12" width="9" bestFit="1" customWidth="1"/>
    <col min="13" max="14" width="12" bestFit="1" customWidth="1"/>
    <col min="15" max="15" width="9" bestFit="1" customWidth="1"/>
    <col min="16" max="16" width="12" bestFit="1" customWidth="1"/>
    <col min="17" max="17" width="13.5703125" bestFit="1" customWidth="1"/>
    <col min="18" max="18" width="13.140625" bestFit="1" customWidth="1"/>
    <col min="19" max="19" width="12" bestFit="1" customWidth="1"/>
  </cols>
  <sheetData>
    <row r="2" spans="1:4" x14ac:dyDescent="0.25">
      <c r="A2" s="2" t="s">
        <v>176</v>
      </c>
      <c r="B2" t="s">
        <v>190</v>
      </c>
    </row>
    <row r="4" spans="1:4" x14ac:dyDescent="0.25">
      <c r="A4" s="2" t="s">
        <v>197</v>
      </c>
      <c r="B4" t="s">
        <v>244</v>
      </c>
      <c r="C4" t="s">
        <v>245</v>
      </c>
      <c r="D4" t="s">
        <v>246</v>
      </c>
    </row>
    <row r="5" spans="1:4" x14ac:dyDescent="0.25">
      <c r="A5" s="3" t="s">
        <v>185</v>
      </c>
      <c r="B5" s="5">
        <v>0.156608</v>
      </c>
      <c r="C5" s="5">
        <v>1.0310710000000001</v>
      </c>
      <c r="D5" s="5">
        <v>1.1876789999999999</v>
      </c>
    </row>
    <row r="6" spans="1:4" x14ac:dyDescent="0.25">
      <c r="A6" s="4">
        <v>32</v>
      </c>
      <c r="B6" s="5">
        <v>0.11261500000000001</v>
      </c>
      <c r="C6" s="5">
        <v>0.84024299999999996</v>
      </c>
      <c r="D6" s="5">
        <v>0.95285799999999998</v>
      </c>
    </row>
    <row r="7" spans="1:4" x14ac:dyDescent="0.25">
      <c r="A7" s="4">
        <v>64</v>
      </c>
      <c r="B7" s="5">
        <v>0.128417</v>
      </c>
      <c r="C7" s="5">
        <v>1.14703</v>
      </c>
      <c r="D7" s="5">
        <v>1.275447</v>
      </c>
    </row>
    <row r="8" spans="1:4" x14ac:dyDescent="0.25">
      <c r="A8" s="4">
        <v>128</v>
      </c>
      <c r="B8" s="5">
        <v>0.228792</v>
      </c>
      <c r="C8" s="5">
        <v>1.1059399999999999</v>
      </c>
      <c r="D8" s="5">
        <v>1.3347319999999998</v>
      </c>
    </row>
    <row r="9" spans="1:4" x14ac:dyDescent="0.25">
      <c r="A9" s="3" t="s">
        <v>186</v>
      </c>
      <c r="B9" s="5">
        <v>9.4721333333333338E-2</v>
      </c>
      <c r="C9" s="5">
        <v>1.0310710000000001</v>
      </c>
      <c r="D9" s="5">
        <v>1.1257923333333333</v>
      </c>
    </row>
    <row r="10" spans="1:4" x14ac:dyDescent="0.25">
      <c r="A10" s="4">
        <v>32</v>
      </c>
      <c r="B10" s="5">
        <v>7.4321999999999999E-2</v>
      </c>
      <c r="C10" s="5">
        <v>0.84024299999999996</v>
      </c>
      <c r="D10" s="5">
        <v>0.91456499999999996</v>
      </c>
    </row>
    <row r="11" spans="1:4" x14ac:dyDescent="0.25">
      <c r="A11" s="4">
        <v>64</v>
      </c>
      <c r="B11" s="5">
        <v>8.7855000000000003E-2</v>
      </c>
      <c r="C11" s="5">
        <v>1.14703</v>
      </c>
      <c r="D11" s="5">
        <v>1.234885</v>
      </c>
    </row>
    <row r="12" spans="1:4" x14ac:dyDescent="0.25">
      <c r="A12" s="4">
        <v>128</v>
      </c>
      <c r="B12" s="5">
        <v>0.121987</v>
      </c>
      <c r="C12" s="5">
        <v>1.1059399999999999</v>
      </c>
      <c r="D12" s="5">
        <v>1.227927</v>
      </c>
    </row>
    <row r="13" spans="1:4" x14ac:dyDescent="0.25">
      <c r="A13" s="3" t="s">
        <v>187</v>
      </c>
      <c r="B13" s="5">
        <v>0.13189266666666666</v>
      </c>
      <c r="C13" s="5">
        <v>1.0310710000000001</v>
      </c>
      <c r="D13" s="5">
        <v>1.1629636666666665</v>
      </c>
    </row>
    <row r="14" spans="1:4" x14ac:dyDescent="0.25">
      <c r="A14" s="4">
        <v>32</v>
      </c>
      <c r="B14" s="5">
        <v>9.5982999999999999E-2</v>
      </c>
      <c r="C14" s="5">
        <v>0.84024299999999996</v>
      </c>
      <c r="D14" s="5">
        <v>0.936226</v>
      </c>
    </row>
    <row r="15" spans="1:4" x14ac:dyDescent="0.25">
      <c r="A15" s="4">
        <v>64</v>
      </c>
      <c r="B15" s="5">
        <v>0.114302</v>
      </c>
      <c r="C15" s="5">
        <v>1.14703</v>
      </c>
      <c r="D15" s="5">
        <v>1.2613319999999999</v>
      </c>
    </row>
    <row r="16" spans="1:4" x14ac:dyDescent="0.25">
      <c r="A16" s="4">
        <v>128</v>
      </c>
      <c r="B16" s="5">
        <v>0.185393</v>
      </c>
      <c r="C16" s="5">
        <v>1.1059399999999999</v>
      </c>
      <c r="D16" s="5">
        <v>1.2913329999999998</v>
      </c>
    </row>
    <row r="17" spans="1:4" x14ac:dyDescent="0.25">
      <c r="A17" s="3" t="s">
        <v>188</v>
      </c>
      <c r="B17" s="5">
        <v>0.16398499999999999</v>
      </c>
      <c r="C17" s="5">
        <v>1.0310710000000001</v>
      </c>
      <c r="D17" s="5">
        <v>1.1950559999999999</v>
      </c>
    </row>
    <row r="18" spans="1:4" x14ac:dyDescent="0.25">
      <c r="A18" s="4">
        <v>32</v>
      </c>
      <c r="B18" s="5">
        <v>0.1447</v>
      </c>
      <c r="C18" s="5">
        <v>0.84024299999999996</v>
      </c>
      <c r="D18" s="5">
        <v>0.9849429999999999</v>
      </c>
    </row>
    <row r="19" spans="1:4" x14ac:dyDescent="0.25">
      <c r="A19" s="4">
        <v>64</v>
      </c>
      <c r="B19" s="5">
        <v>0.15427099999999999</v>
      </c>
      <c r="C19" s="5">
        <v>1.14703</v>
      </c>
      <c r="D19" s="5">
        <v>1.301301</v>
      </c>
    </row>
    <row r="20" spans="1:4" x14ac:dyDescent="0.25">
      <c r="A20" s="4">
        <v>128</v>
      </c>
      <c r="B20" s="5">
        <v>0.19298399999999999</v>
      </c>
      <c r="C20" s="5">
        <v>1.1059399999999999</v>
      </c>
      <c r="D20" s="5">
        <v>1.298924</v>
      </c>
    </row>
    <row r="21" spans="1:4" x14ac:dyDescent="0.25">
      <c r="A21" s="3" t="s">
        <v>189</v>
      </c>
      <c r="B21" s="5">
        <v>0.15936666666666668</v>
      </c>
      <c r="C21" s="5">
        <v>1.0310710000000001</v>
      </c>
      <c r="D21" s="5">
        <v>1.1904376666666667</v>
      </c>
    </row>
    <row r="22" spans="1:4" x14ac:dyDescent="0.25">
      <c r="A22" s="4">
        <v>32</v>
      </c>
      <c r="B22" s="5">
        <v>0.134912</v>
      </c>
      <c r="C22" s="5">
        <v>0.84024299999999996</v>
      </c>
      <c r="D22" s="5">
        <v>0.97515499999999999</v>
      </c>
    </row>
    <row r="23" spans="1:4" x14ac:dyDescent="0.25">
      <c r="A23" s="4">
        <v>64</v>
      </c>
      <c r="B23" s="5">
        <v>0.14335200000000001</v>
      </c>
      <c r="C23" s="5">
        <v>1.14703</v>
      </c>
      <c r="D23" s="5">
        <v>1.2903819999999999</v>
      </c>
    </row>
    <row r="24" spans="1:4" x14ac:dyDescent="0.25">
      <c r="A24" s="4">
        <v>128</v>
      </c>
      <c r="B24" s="5">
        <v>0.19983600000000001</v>
      </c>
      <c r="C24" s="5">
        <v>1.1059399999999999</v>
      </c>
      <c r="D24" s="5">
        <v>1.3057759999999998</v>
      </c>
    </row>
    <row r="25" spans="1:4" x14ac:dyDescent="0.25">
      <c r="A25" s="3" t="s">
        <v>198</v>
      </c>
      <c r="B25" s="5">
        <v>0.14131473333333336</v>
      </c>
      <c r="C25" s="5">
        <v>1.0310710000000001</v>
      </c>
      <c r="D25" s="5">
        <v>1.1723857333333332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A0FCF-C2AE-4262-A1AB-6D05ECFDE17B}">
  <sheetPr codeName="Sheet4"/>
  <dimension ref="A2:C25"/>
  <sheetViews>
    <sheetView workbookViewId="0">
      <selection activeCell="E31" sqref="E31"/>
    </sheetView>
  </sheetViews>
  <sheetFormatPr defaultRowHeight="15" x14ac:dyDescent="0.25"/>
  <cols>
    <col min="1" max="1" width="13.28515625" bestFit="1" customWidth="1"/>
    <col min="2" max="2" width="12.7109375" bestFit="1" customWidth="1"/>
    <col min="3" max="4" width="12" bestFit="1" customWidth="1"/>
    <col min="5" max="5" width="9" bestFit="1" customWidth="1"/>
    <col min="6" max="6" width="12" bestFit="1" customWidth="1"/>
    <col min="7" max="7" width="9" bestFit="1" customWidth="1"/>
    <col min="8" max="8" width="11.42578125" bestFit="1" customWidth="1"/>
    <col min="9" max="10" width="9" bestFit="1" customWidth="1"/>
    <col min="11" max="11" width="9.7109375" bestFit="1" customWidth="1"/>
    <col min="12" max="12" width="9" bestFit="1" customWidth="1"/>
    <col min="13" max="14" width="12" bestFit="1" customWidth="1"/>
    <col min="15" max="15" width="9" bestFit="1" customWidth="1"/>
    <col min="16" max="16" width="12" bestFit="1" customWidth="1"/>
    <col min="17" max="17" width="13.5703125" bestFit="1" customWidth="1"/>
    <col min="18" max="18" width="13.140625" bestFit="1" customWidth="1"/>
    <col min="19" max="19" width="12" bestFit="1" customWidth="1"/>
  </cols>
  <sheetData>
    <row r="2" spans="1:3" x14ac:dyDescent="0.25">
      <c r="A2" s="2" t="s">
        <v>176</v>
      </c>
      <c r="B2" t="s">
        <v>190</v>
      </c>
    </row>
    <row r="4" spans="1:3" x14ac:dyDescent="0.25">
      <c r="A4" s="2" t="s">
        <v>197</v>
      </c>
      <c r="B4" t="s">
        <v>246</v>
      </c>
      <c r="C4" t="s">
        <v>249</v>
      </c>
    </row>
    <row r="5" spans="1:3" x14ac:dyDescent="0.25">
      <c r="A5" s="3" t="s">
        <v>185</v>
      </c>
      <c r="B5" s="5">
        <v>1.1876789999999999</v>
      </c>
      <c r="C5" s="5">
        <v>4.7136066666666663</v>
      </c>
    </row>
    <row r="6" spans="1:3" x14ac:dyDescent="0.25">
      <c r="A6" s="4">
        <v>32</v>
      </c>
      <c r="B6" s="5">
        <v>0.95285799999999998</v>
      </c>
      <c r="C6" s="5">
        <v>2.17171</v>
      </c>
    </row>
    <row r="7" spans="1:3" x14ac:dyDescent="0.25">
      <c r="A7" s="4">
        <v>64</v>
      </c>
      <c r="B7" s="5">
        <v>1.275447</v>
      </c>
      <c r="C7" s="5">
        <v>3.7820100000000001</v>
      </c>
    </row>
    <row r="8" spans="1:3" x14ac:dyDescent="0.25">
      <c r="A8" s="4">
        <v>128</v>
      </c>
      <c r="B8" s="5">
        <v>1.3347319999999998</v>
      </c>
      <c r="C8" s="5">
        <v>8.1870999999999992</v>
      </c>
    </row>
    <row r="9" spans="1:3" x14ac:dyDescent="0.25">
      <c r="A9" s="3" t="s">
        <v>186</v>
      </c>
      <c r="B9" s="5">
        <v>1.1257923333333333</v>
      </c>
      <c r="C9" s="5">
        <v>4.7136066666666663</v>
      </c>
    </row>
    <row r="10" spans="1:3" x14ac:dyDescent="0.25">
      <c r="A10" s="4">
        <v>32</v>
      </c>
      <c r="B10" s="5">
        <v>0.91456499999999996</v>
      </c>
      <c r="C10" s="5">
        <v>2.17171</v>
      </c>
    </row>
    <row r="11" spans="1:3" x14ac:dyDescent="0.25">
      <c r="A11" s="4">
        <v>64</v>
      </c>
      <c r="B11" s="5">
        <v>1.234885</v>
      </c>
      <c r="C11" s="5">
        <v>3.7820100000000001</v>
      </c>
    </row>
    <row r="12" spans="1:3" x14ac:dyDescent="0.25">
      <c r="A12" s="4">
        <v>128</v>
      </c>
      <c r="B12" s="5">
        <v>1.227927</v>
      </c>
      <c r="C12" s="5">
        <v>8.1870999999999992</v>
      </c>
    </row>
    <row r="13" spans="1:3" x14ac:dyDescent="0.25">
      <c r="A13" s="3" t="s">
        <v>187</v>
      </c>
      <c r="B13" s="5">
        <v>1.1629636666666665</v>
      </c>
      <c r="C13" s="5">
        <v>4.7136066666666663</v>
      </c>
    </row>
    <row r="14" spans="1:3" x14ac:dyDescent="0.25">
      <c r="A14" s="4">
        <v>32</v>
      </c>
      <c r="B14" s="5">
        <v>0.936226</v>
      </c>
      <c r="C14" s="5">
        <v>2.17171</v>
      </c>
    </row>
    <row r="15" spans="1:3" x14ac:dyDescent="0.25">
      <c r="A15" s="4">
        <v>64</v>
      </c>
      <c r="B15" s="5">
        <v>1.2613319999999999</v>
      </c>
      <c r="C15" s="5">
        <v>3.7820100000000001</v>
      </c>
    </row>
    <row r="16" spans="1:3" x14ac:dyDescent="0.25">
      <c r="A16" s="4">
        <v>128</v>
      </c>
      <c r="B16" s="5">
        <v>1.2913329999999998</v>
      </c>
      <c r="C16" s="5">
        <v>8.1870999999999992</v>
      </c>
    </row>
    <row r="17" spans="1:3" x14ac:dyDescent="0.25">
      <c r="A17" s="3" t="s">
        <v>188</v>
      </c>
      <c r="B17" s="5">
        <v>1.1950559999999999</v>
      </c>
      <c r="C17" s="5">
        <v>4.7136066666666663</v>
      </c>
    </row>
    <row r="18" spans="1:3" x14ac:dyDescent="0.25">
      <c r="A18" s="4">
        <v>32</v>
      </c>
      <c r="B18" s="5">
        <v>0.9849429999999999</v>
      </c>
      <c r="C18" s="5">
        <v>2.17171</v>
      </c>
    </row>
    <row r="19" spans="1:3" x14ac:dyDescent="0.25">
      <c r="A19" s="4">
        <v>64</v>
      </c>
      <c r="B19" s="5">
        <v>1.301301</v>
      </c>
      <c r="C19" s="5">
        <v>3.7820100000000001</v>
      </c>
    </row>
    <row r="20" spans="1:3" x14ac:dyDescent="0.25">
      <c r="A20" s="4">
        <v>128</v>
      </c>
      <c r="B20" s="5">
        <v>1.298924</v>
      </c>
      <c r="C20" s="5">
        <v>8.1870999999999992</v>
      </c>
    </row>
    <row r="21" spans="1:3" x14ac:dyDescent="0.25">
      <c r="A21" s="3" t="s">
        <v>189</v>
      </c>
      <c r="B21" s="5">
        <v>1.1904376666666667</v>
      </c>
      <c r="C21" s="5">
        <v>4.7136066666666663</v>
      </c>
    </row>
    <row r="22" spans="1:3" x14ac:dyDescent="0.25">
      <c r="A22" s="4">
        <v>32</v>
      </c>
      <c r="B22" s="5">
        <v>0.97515499999999999</v>
      </c>
      <c r="C22" s="5">
        <v>2.17171</v>
      </c>
    </row>
    <row r="23" spans="1:3" x14ac:dyDescent="0.25">
      <c r="A23" s="4">
        <v>64</v>
      </c>
      <c r="B23" s="5">
        <v>1.2903819999999999</v>
      </c>
      <c r="C23" s="5">
        <v>3.7820100000000001</v>
      </c>
    </row>
    <row r="24" spans="1:3" x14ac:dyDescent="0.25">
      <c r="A24" s="4">
        <v>128</v>
      </c>
      <c r="B24" s="5">
        <v>1.3057759999999998</v>
      </c>
      <c r="C24" s="5">
        <v>8.1870999999999992</v>
      </c>
    </row>
    <row r="25" spans="1:3" x14ac:dyDescent="0.25">
      <c r="A25" s="3" t="s">
        <v>198</v>
      </c>
      <c r="B25" s="5">
        <v>1.1723857333333332</v>
      </c>
      <c r="C25" s="5">
        <v>4.7136066666666663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3F950-2492-4F38-B735-C803DD137D1F}">
  <sheetPr codeName="Sheet5"/>
  <dimension ref="A2:B25"/>
  <sheetViews>
    <sheetView workbookViewId="0">
      <selection activeCell="O26" sqref="O26"/>
    </sheetView>
  </sheetViews>
  <sheetFormatPr defaultRowHeight="15" x14ac:dyDescent="0.25"/>
  <cols>
    <col min="1" max="1" width="13.28515625" bestFit="1" customWidth="1"/>
    <col min="2" max="2" width="21.5703125" bestFit="1" customWidth="1"/>
    <col min="3" max="5" width="18" bestFit="1" customWidth="1"/>
    <col min="6" max="6" width="12" bestFit="1" customWidth="1"/>
    <col min="7" max="7" width="9" bestFit="1" customWidth="1"/>
    <col min="8" max="8" width="11.42578125" bestFit="1" customWidth="1"/>
    <col min="9" max="10" width="9" bestFit="1" customWidth="1"/>
    <col min="11" max="11" width="9.7109375" bestFit="1" customWidth="1"/>
    <col min="12" max="12" width="9" bestFit="1" customWidth="1"/>
    <col min="13" max="14" width="12" bestFit="1" customWidth="1"/>
    <col min="15" max="15" width="9" bestFit="1" customWidth="1"/>
    <col min="16" max="16" width="12" bestFit="1" customWidth="1"/>
    <col min="17" max="17" width="13.5703125" bestFit="1" customWidth="1"/>
    <col min="18" max="18" width="13.140625" bestFit="1" customWidth="1"/>
    <col min="19" max="19" width="12" bestFit="1" customWidth="1"/>
  </cols>
  <sheetData>
    <row r="2" spans="1:2" x14ac:dyDescent="0.25">
      <c r="A2" s="2" t="s">
        <v>176</v>
      </c>
      <c r="B2" t="s">
        <v>190</v>
      </c>
    </row>
    <row r="4" spans="1:2" x14ac:dyDescent="0.25">
      <c r="A4" s="2" t="s">
        <v>197</v>
      </c>
      <c r="B4" t="s">
        <v>250</v>
      </c>
    </row>
    <row r="5" spans="1:2" x14ac:dyDescent="0.25">
      <c r="A5" s="3" t="s">
        <v>185</v>
      </c>
      <c r="B5" s="5">
        <v>15.559586666666666</v>
      </c>
    </row>
    <row r="6" spans="1:2" x14ac:dyDescent="0.25">
      <c r="A6" s="4">
        <v>32</v>
      </c>
      <c r="B6" s="5">
        <v>8.6724599999999992</v>
      </c>
    </row>
    <row r="7" spans="1:2" x14ac:dyDescent="0.25">
      <c r="A7" s="4">
        <v>64</v>
      </c>
      <c r="B7" s="5">
        <v>10.7277</v>
      </c>
    </row>
    <row r="8" spans="1:2" x14ac:dyDescent="0.25">
      <c r="A8" s="4">
        <v>128</v>
      </c>
      <c r="B8" s="5">
        <v>27.278600000000001</v>
      </c>
    </row>
    <row r="9" spans="1:2" x14ac:dyDescent="0.25">
      <c r="A9" s="3" t="s">
        <v>186</v>
      </c>
      <c r="B9" s="5">
        <v>15.559586666666666</v>
      </c>
    </row>
    <row r="10" spans="1:2" x14ac:dyDescent="0.25">
      <c r="A10" s="4">
        <v>32</v>
      </c>
      <c r="B10" s="5">
        <v>8.6724599999999992</v>
      </c>
    </row>
    <row r="11" spans="1:2" x14ac:dyDescent="0.25">
      <c r="A11" s="4">
        <v>64</v>
      </c>
      <c r="B11" s="5">
        <v>10.7277</v>
      </c>
    </row>
    <row r="12" spans="1:2" x14ac:dyDescent="0.25">
      <c r="A12" s="4">
        <v>128</v>
      </c>
      <c r="B12" s="5">
        <v>27.278600000000001</v>
      </c>
    </row>
    <row r="13" spans="1:2" x14ac:dyDescent="0.25">
      <c r="A13" s="3" t="s">
        <v>187</v>
      </c>
      <c r="B13" s="5">
        <v>15.559586666666666</v>
      </c>
    </row>
    <row r="14" spans="1:2" x14ac:dyDescent="0.25">
      <c r="A14" s="4">
        <v>32</v>
      </c>
      <c r="B14" s="5">
        <v>8.6724599999999992</v>
      </c>
    </row>
    <row r="15" spans="1:2" x14ac:dyDescent="0.25">
      <c r="A15" s="4">
        <v>64</v>
      </c>
      <c r="B15" s="5">
        <v>10.7277</v>
      </c>
    </row>
    <row r="16" spans="1:2" x14ac:dyDescent="0.25">
      <c r="A16" s="4">
        <v>128</v>
      </c>
      <c r="B16" s="5">
        <v>27.278600000000001</v>
      </c>
    </row>
    <row r="17" spans="1:2" x14ac:dyDescent="0.25">
      <c r="A17" s="3" t="s">
        <v>188</v>
      </c>
      <c r="B17" s="5">
        <v>15.559586666666666</v>
      </c>
    </row>
    <row r="18" spans="1:2" x14ac:dyDescent="0.25">
      <c r="A18" s="4">
        <v>32</v>
      </c>
      <c r="B18" s="5">
        <v>8.6724599999999992</v>
      </c>
    </row>
    <row r="19" spans="1:2" x14ac:dyDescent="0.25">
      <c r="A19" s="4">
        <v>64</v>
      </c>
      <c r="B19" s="5">
        <v>10.7277</v>
      </c>
    </row>
    <row r="20" spans="1:2" x14ac:dyDescent="0.25">
      <c r="A20" s="4">
        <v>128</v>
      </c>
      <c r="B20" s="5">
        <v>27.278600000000001</v>
      </c>
    </row>
    <row r="21" spans="1:2" x14ac:dyDescent="0.25">
      <c r="A21" s="3" t="s">
        <v>189</v>
      </c>
      <c r="B21" s="5">
        <v>15.559586666666666</v>
      </c>
    </row>
    <row r="22" spans="1:2" x14ac:dyDescent="0.25">
      <c r="A22" s="4">
        <v>32</v>
      </c>
      <c r="B22" s="5">
        <v>8.6724599999999992</v>
      </c>
    </row>
    <row r="23" spans="1:2" x14ac:dyDescent="0.25">
      <c r="A23" s="4">
        <v>64</v>
      </c>
      <c r="B23" s="5">
        <v>10.7277</v>
      </c>
    </row>
    <row r="24" spans="1:2" x14ac:dyDescent="0.25">
      <c r="A24" s="4">
        <v>128</v>
      </c>
      <c r="B24" s="5">
        <v>27.278600000000001</v>
      </c>
    </row>
    <row r="25" spans="1:2" x14ac:dyDescent="0.25">
      <c r="A25" s="3" t="s">
        <v>198</v>
      </c>
      <c r="B25" s="5">
        <v>15.559586666666668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7DE05-2D2A-417F-AB85-EEB1AD7FAC70}">
  <sheetPr codeName="Sheet6"/>
  <dimension ref="A2:B25"/>
  <sheetViews>
    <sheetView tabSelected="1" workbookViewId="0">
      <selection activeCell="F18" sqref="F18"/>
    </sheetView>
  </sheetViews>
  <sheetFormatPr defaultRowHeight="15" x14ac:dyDescent="0.25"/>
  <cols>
    <col min="1" max="1" width="13.28515625" bestFit="1" customWidth="1"/>
    <col min="2" max="2" width="26.5703125" bestFit="1" customWidth="1"/>
    <col min="3" max="3" width="23" bestFit="1" customWidth="1"/>
    <col min="4" max="5" width="18" bestFit="1" customWidth="1"/>
    <col min="6" max="6" width="12" bestFit="1" customWidth="1"/>
    <col min="7" max="7" width="9" bestFit="1" customWidth="1"/>
    <col min="8" max="8" width="11.42578125" bestFit="1" customWidth="1"/>
    <col min="9" max="10" width="9" bestFit="1" customWidth="1"/>
    <col min="11" max="11" width="9.7109375" bestFit="1" customWidth="1"/>
    <col min="12" max="12" width="9" bestFit="1" customWidth="1"/>
    <col min="13" max="14" width="12" bestFit="1" customWidth="1"/>
    <col min="15" max="15" width="9" bestFit="1" customWidth="1"/>
    <col min="16" max="16" width="12" bestFit="1" customWidth="1"/>
    <col min="17" max="17" width="13.5703125" bestFit="1" customWidth="1"/>
    <col min="18" max="18" width="13.140625" bestFit="1" customWidth="1"/>
    <col min="19" max="19" width="12" bestFit="1" customWidth="1"/>
  </cols>
  <sheetData>
    <row r="2" spans="1:2" x14ac:dyDescent="0.25">
      <c r="A2" s="2" t="s">
        <v>176</v>
      </c>
      <c r="B2" t="s">
        <v>190</v>
      </c>
    </row>
    <row r="4" spans="1:2" x14ac:dyDescent="0.25">
      <c r="A4" s="2" t="s">
        <v>197</v>
      </c>
      <c r="B4" t="s">
        <v>251</v>
      </c>
    </row>
    <row r="5" spans="1:2" x14ac:dyDescent="0.25">
      <c r="A5" s="3" t="s">
        <v>185</v>
      </c>
      <c r="B5" s="5">
        <v>4.8604243757476819</v>
      </c>
    </row>
    <row r="6" spans="1:2" x14ac:dyDescent="0.25">
      <c r="A6" s="4">
        <v>32</v>
      </c>
      <c r="B6" s="5">
        <v>5.7149393400622364</v>
      </c>
    </row>
    <row r="7" spans="1:2" x14ac:dyDescent="0.25">
      <c r="A7" s="4">
        <v>64</v>
      </c>
      <c r="B7" s="5">
        <v>4.5379184037345617</v>
      </c>
    </row>
    <row r="8" spans="1:2" x14ac:dyDescent="0.25">
      <c r="A8" s="4">
        <v>128</v>
      </c>
      <c r="B8" s="5">
        <v>4.3284153834462469</v>
      </c>
    </row>
    <row r="9" spans="1:2" x14ac:dyDescent="0.25">
      <c r="A9" s="3" t="s">
        <v>186</v>
      </c>
      <c r="B9" s="5">
        <v>7.2519924745828952</v>
      </c>
    </row>
    <row r="10" spans="1:2" x14ac:dyDescent="0.25">
      <c r="A10" s="4">
        <v>32</v>
      </c>
      <c r="B10" s="5">
        <v>6.7494600431965441</v>
      </c>
    </row>
    <row r="11" spans="1:2" x14ac:dyDescent="0.25">
      <c r="A11" s="4">
        <v>64</v>
      </c>
      <c r="B11" s="5">
        <v>6.8626643608114408</v>
      </c>
    </row>
    <row r="12" spans="1:2" x14ac:dyDescent="0.25">
      <c r="A12" s="4">
        <v>128</v>
      </c>
      <c r="B12" s="5">
        <v>8.1438530197406998</v>
      </c>
    </row>
    <row r="13" spans="1:2" x14ac:dyDescent="0.25">
      <c r="A13" s="3" t="s">
        <v>187</v>
      </c>
      <c r="B13" s="5">
        <v>1.1991279365098026</v>
      </c>
    </row>
    <row r="14" spans="1:2" x14ac:dyDescent="0.25">
      <c r="A14" s="4">
        <v>32</v>
      </c>
      <c r="B14" s="5">
        <v>0.91602130309401908</v>
      </c>
    </row>
    <row r="15" spans="1:2" x14ac:dyDescent="0.25">
      <c r="A15" s="4">
        <v>64</v>
      </c>
      <c r="B15" s="5">
        <v>1.1257961638914511</v>
      </c>
    </row>
    <row r="16" spans="1:2" x14ac:dyDescent="0.25">
      <c r="A16" s="4">
        <v>128</v>
      </c>
      <c r="B16" s="5">
        <v>1.5555663425439377</v>
      </c>
    </row>
    <row r="17" spans="1:2" x14ac:dyDescent="0.25">
      <c r="A17" s="3" t="s">
        <v>188</v>
      </c>
      <c r="B17" s="5">
        <v>7.6783116996782956</v>
      </c>
    </row>
    <row r="18" spans="1:2" x14ac:dyDescent="0.25">
      <c r="A18" s="4">
        <v>32</v>
      </c>
      <c r="B18" s="5">
        <v>8.9891379930843325</v>
      </c>
    </row>
    <row r="19" spans="1:2" x14ac:dyDescent="0.25">
      <c r="A19" s="4">
        <v>64</v>
      </c>
      <c r="B19" s="5">
        <v>6.9717551818250136</v>
      </c>
    </row>
    <row r="20" spans="1:2" x14ac:dyDescent="0.25">
      <c r="A20" s="4">
        <v>128</v>
      </c>
      <c r="B20" s="5">
        <v>7.074041924125539</v>
      </c>
    </row>
    <row r="21" spans="1:2" x14ac:dyDescent="0.25">
      <c r="A21" s="3" t="s">
        <v>189</v>
      </c>
      <c r="B21" s="5">
        <v>6.9394320319761285</v>
      </c>
    </row>
    <row r="22" spans="1:2" x14ac:dyDescent="0.25">
      <c r="A22" s="4">
        <v>32</v>
      </c>
      <c r="B22" s="5">
        <v>8.3690628152730575</v>
      </c>
    </row>
    <row r="23" spans="1:2" x14ac:dyDescent="0.25">
      <c r="A23" s="4">
        <v>64</v>
      </c>
      <c r="B23" s="5">
        <v>6.2883041435390439</v>
      </c>
    </row>
    <row r="24" spans="1:2" x14ac:dyDescent="0.25">
      <c r="A24" s="4">
        <v>128</v>
      </c>
      <c r="B24" s="5">
        <v>6.1609291371162831</v>
      </c>
    </row>
    <row r="25" spans="1:2" x14ac:dyDescent="0.25">
      <c r="A25" s="3" t="s">
        <v>198</v>
      </c>
      <c r="B25" s="5">
        <v>5.5858577036989612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59CBB-2A3A-45AE-8355-BDE8572B18FA}">
  <sheetPr codeName="Sheet7"/>
  <dimension ref="A2:F31"/>
  <sheetViews>
    <sheetView topLeftCell="K1" workbookViewId="0">
      <selection activeCell="M37" sqref="M37"/>
    </sheetView>
  </sheetViews>
  <sheetFormatPr defaultRowHeight="15" x14ac:dyDescent="0.25"/>
  <cols>
    <col min="1" max="1" width="13.28515625" bestFit="1" customWidth="1"/>
    <col min="2" max="2" width="16.28515625" bestFit="1" customWidth="1"/>
    <col min="3" max="3" width="10" bestFit="1" customWidth="1"/>
    <col min="4" max="5" width="11" bestFit="1" customWidth="1"/>
    <col min="6" max="6" width="12" bestFit="1" customWidth="1"/>
    <col min="7" max="7" width="10" bestFit="1" customWidth="1"/>
    <col min="8" max="9" width="11" bestFit="1" customWidth="1"/>
    <col min="10" max="10" width="13.140625" bestFit="1" customWidth="1"/>
    <col min="11" max="11" width="12" bestFit="1" customWidth="1"/>
    <col min="12" max="13" width="11" bestFit="1" customWidth="1"/>
    <col min="14" max="14" width="13.5703125" bestFit="1" customWidth="1"/>
    <col min="15" max="15" width="13.140625" bestFit="1" customWidth="1"/>
    <col min="16" max="16" width="12" bestFit="1" customWidth="1"/>
    <col min="17" max="17" width="13.5703125" bestFit="1" customWidth="1"/>
    <col min="18" max="18" width="13.140625" bestFit="1" customWidth="1"/>
    <col min="19" max="19" width="12" bestFit="1" customWidth="1"/>
  </cols>
  <sheetData>
    <row r="2" spans="1:6" x14ac:dyDescent="0.25">
      <c r="A2" s="2" t="s">
        <v>176</v>
      </c>
      <c r="B2" t="s">
        <v>191</v>
      </c>
    </row>
    <row r="4" spans="1:6" x14ac:dyDescent="0.25">
      <c r="A4" s="2" t="s">
        <v>246</v>
      </c>
      <c r="B4" s="2" t="s">
        <v>199</v>
      </c>
    </row>
    <row r="5" spans="1:6" x14ac:dyDescent="0.25">
      <c r="A5" s="2" t="s">
        <v>197</v>
      </c>
      <c r="B5">
        <v>16</v>
      </c>
      <c r="C5">
        <v>32</v>
      </c>
      <c r="D5">
        <v>64</v>
      </c>
      <c r="E5">
        <v>128</v>
      </c>
      <c r="F5" t="s">
        <v>198</v>
      </c>
    </row>
    <row r="6" spans="1:6" x14ac:dyDescent="0.25">
      <c r="A6" s="3" t="s">
        <v>185</v>
      </c>
      <c r="B6" s="5">
        <v>1.1325959999999999</v>
      </c>
      <c r="C6" s="5">
        <v>1.1425545000000001</v>
      </c>
      <c r="D6" s="5">
        <v>1.7599407500000002</v>
      </c>
      <c r="E6" s="5">
        <v>2.1370784999999999</v>
      </c>
      <c r="F6" s="5">
        <v>1.5430424375</v>
      </c>
    </row>
    <row r="7" spans="1:6" x14ac:dyDescent="0.25">
      <c r="A7" s="4">
        <v>16</v>
      </c>
      <c r="B7" s="5">
        <v>0.85499700000000001</v>
      </c>
      <c r="C7" s="5">
        <v>0.864954</v>
      </c>
      <c r="D7" s="5">
        <v>1.482321</v>
      </c>
      <c r="E7" s="5">
        <v>1.8594359999999999</v>
      </c>
      <c r="F7" s="5">
        <v>1.2654269999999999</v>
      </c>
    </row>
    <row r="8" spans="1:6" x14ac:dyDescent="0.25">
      <c r="A8" s="4">
        <v>32</v>
      </c>
      <c r="B8" s="5">
        <v>0.86250499999999997</v>
      </c>
      <c r="C8" s="5">
        <v>0.87246000000000001</v>
      </c>
      <c r="D8" s="5">
        <v>1.4898720000000001</v>
      </c>
      <c r="E8" s="5">
        <v>1.8669890000000002</v>
      </c>
      <c r="F8" s="5">
        <v>1.2729565</v>
      </c>
    </row>
    <row r="9" spans="1:6" x14ac:dyDescent="0.25">
      <c r="A9" s="4">
        <v>64</v>
      </c>
      <c r="B9" s="5">
        <v>1.2654830000000001</v>
      </c>
      <c r="C9" s="5">
        <v>1.275447</v>
      </c>
      <c r="D9" s="5">
        <v>1.892825</v>
      </c>
      <c r="E9" s="5">
        <v>2.2699889999999998</v>
      </c>
      <c r="F9" s="5">
        <v>1.6759360000000001</v>
      </c>
    </row>
    <row r="10" spans="1:6" x14ac:dyDescent="0.25">
      <c r="A10" s="4">
        <v>128</v>
      </c>
      <c r="B10" s="5">
        <v>1.547399</v>
      </c>
      <c r="C10" s="5">
        <v>1.5573570000000001</v>
      </c>
      <c r="D10" s="5">
        <v>2.1747450000000002</v>
      </c>
      <c r="E10" s="5">
        <v>2.5519000000000003</v>
      </c>
      <c r="F10" s="5">
        <v>1.9578502499999999</v>
      </c>
    </row>
    <row r="11" spans="1:6" x14ac:dyDescent="0.25">
      <c r="A11" s="3" t="s">
        <v>186</v>
      </c>
      <c r="B11" s="5">
        <v>1.09282075</v>
      </c>
      <c r="C11" s="5">
        <v>1.1006805</v>
      </c>
      <c r="D11" s="5">
        <v>1.5595730000000001</v>
      </c>
      <c r="E11" s="5">
        <v>1.8645022499999999</v>
      </c>
      <c r="F11" s="5">
        <v>1.404394125</v>
      </c>
    </row>
    <row r="12" spans="1:6" x14ac:dyDescent="0.25">
      <c r="A12" s="4">
        <v>16</v>
      </c>
      <c r="B12" s="5">
        <v>0.81391000000000002</v>
      </c>
      <c r="C12" s="5">
        <v>0.82123199999999996</v>
      </c>
      <c r="D12" s="5">
        <v>1.2788680000000001</v>
      </c>
      <c r="E12" s="5">
        <v>1.5822769999999999</v>
      </c>
      <c r="F12" s="5">
        <v>1.1240717500000001</v>
      </c>
    </row>
    <row r="13" spans="1:6" x14ac:dyDescent="0.25">
      <c r="A13" s="4">
        <v>32</v>
      </c>
      <c r="B13" s="5">
        <v>0.82017600000000002</v>
      </c>
      <c r="C13" s="5">
        <v>0.82805700000000004</v>
      </c>
      <c r="D13" s="5">
        <v>1.2871710000000001</v>
      </c>
      <c r="E13" s="5">
        <v>1.591928</v>
      </c>
      <c r="F13" s="5">
        <v>1.1318330000000001</v>
      </c>
    </row>
    <row r="14" spans="1:6" x14ac:dyDescent="0.25">
      <c r="A14" s="4">
        <v>64</v>
      </c>
      <c r="B14" s="5">
        <v>1.22682</v>
      </c>
      <c r="C14" s="5">
        <v>1.234885</v>
      </c>
      <c r="D14" s="5">
        <v>1.6943319999999999</v>
      </c>
      <c r="E14" s="5">
        <v>1.999986</v>
      </c>
      <c r="F14" s="5">
        <v>1.5390057500000001</v>
      </c>
    </row>
    <row r="15" spans="1:6" x14ac:dyDescent="0.25">
      <c r="A15" s="4">
        <v>128</v>
      </c>
      <c r="B15" s="5">
        <v>1.5103769999999999</v>
      </c>
      <c r="C15" s="5">
        <v>1.518548</v>
      </c>
      <c r="D15" s="5">
        <v>1.977921</v>
      </c>
      <c r="E15" s="5">
        <v>2.2838180000000001</v>
      </c>
      <c r="F15" s="5">
        <v>1.8226660000000001</v>
      </c>
    </row>
    <row r="16" spans="1:6" x14ac:dyDescent="0.25">
      <c r="A16" s="3" t="s">
        <v>187</v>
      </c>
      <c r="B16" s="5">
        <v>1.1179092500000001</v>
      </c>
      <c r="C16" s="5">
        <v>1.1284395</v>
      </c>
      <c r="D16" s="5">
        <v>1.6284730000000001</v>
      </c>
      <c r="E16" s="5">
        <v>1.95474525</v>
      </c>
      <c r="F16" s="5">
        <v>1.4573917500000002</v>
      </c>
    </row>
    <row r="17" spans="1:6" x14ac:dyDescent="0.25">
      <c r="A17" s="4">
        <v>16</v>
      </c>
      <c r="B17" s="5">
        <v>0.84032700000000005</v>
      </c>
      <c r="C17" s="5">
        <v>0.85083500000000001</v>
      </c>
      <c r="D17" s="5">
        <v>1.350867</v>
      </c>
      <c r="E17" s="5">
        <v>1.6771379999999998</v>
      </c>
      <c r="F17" s="5">
        <v>1.1797917500000001</v>
      </c>
    </row>
    <row r="18" spans="1:6" x14ac:dyDescent="0.25">
      <c r="A18" s="4">
        <v>32</v>
      </c>
      <c r="B18" s="5">
        <v>0.84780100000000003</v>
      </c>
      <c r="C18" s="5">
        <v>0.85834900000000003</v>
      </c>
      <c r="D18" s="5">
        <v>1.3583879999999999</v>
      </c>
      <c r="E18" s="5">
        <v>1.6846560000000002</v>
      </c>
      <c r="F18" s="5">
        <v>1.1872985</v>
      </c>
    </row>
    <row r="19" spans="1:6" x14ac:dyDescent="0.25">
      <c r="A19" s="4">
        <v>64</v>
      </c>
      <c r="B19" s="5">
        <v>1.2507790000000001</v>
      </c>
      <c r="C19" s="5">
        <v>1.2613319999999999</v>
      </c>
      <c r="D19" s="5">
        <v>1.761358</v>
      </c>
      <c r="E19" s="5">
        <v>2.0876380000000001</v>
      </c>
      <c r="F19" s="5">
        <v>1.5902767500000001</v>
      </c>
    </row>
    <row r="20" spans="1:6" x14ac:dyDescent="0.25">
      <c r="A20" s="4">
        <v>128</v>
      </c>
      <c r="B20" s="5">
        <v>1.5327299999999999</v>
      </c>
      <c r="C20" s="5">
        <v>1.543242</v>
      </c>
      <c r="D20" s="5">
        <v>2.0432790000000001</v>
      </c>
      <c r="E20" s="5">
        <v>2.3695490000000001</v>
      </c>
      <c r="F20" s="5">
        <v>1.8722000000000001</v>
      </c>
    </row>
    <row r="21" spans="1:6" x14ac:dyDescent="0.25">
      <c r="A21" s="3" t="s">
        <v>188</v>
      </c>
      <c r="B21" s="5">
        <v>1.1536532500000001</v>
      </c>
      <c r="C21" s="5">
        <v>1.164679</v>
      </c>
      <c r="D21" s="5">
        <v>1.7759830000000001</v>
      </c>
      <c r="E21" s="5">
        <v>2.1470919999999998</v>
      </c>
      <c r="F21" s="5">
        <v>1.5603518125</v>
      </c>
    </row>
    <row r="22" spans="1:6" x14ac:dyDescent="0.25">
      <c r="A22" s="4">
        <v>16</v>
      </c>
      <c r="B22" s="5">
        <v>0.86670100000000005</v>
      </c>
      <c r="C22" s="5">
        <v>0.87704000000000004</v>
      </c>
      <c r="D22" s="5">
        <v>1.448644</v>
      </c>
      <c r="E22" s="5">
        <v>1.802584</v>
      </c>
      <c r="F22" s="5">
        <v>1.2487422499999998</v>
      </c>
    </row>
    <row r="23" spans="1:6" x14ac:dyDescent="0.25">
      <c r="A23" s="4">
        <v>32</v>
      </c>
      <c r="B23" s="5">
        <v>0.88594600000000001</v>
      </c>
      <c r="C23" s="5">
        <v>0.89717400000000003</v>
      </c>
      <c r="D23" s="5">
        <v>1.5184770000000001</v>
      </c>
      <c r="E23" s="5">
        <v>1.8937970000000002</v>
      </c>
      <c r="F23" s="5">
        <v>1.2988485000000001</v>
      </c>
    </row>
    <row r="24" spans="1:6" x14ac:dyDescent="0.25">
      <c r="A24" s="4">
        <v>64</v>
      </c>
      <c r="B24" s="5">
        <v>1.2900240000000001</v>
      </c>
      <c r="C24" s="5">
        <v>1.301301</v>
      </c>
      <c r="D24" s="5">
        <v>1.927467</v>
      </c>
      <c r="E24" s="5">
        <v>2.3050229999999998</v>
      </c>
      <c r="F24" s="5">
        <v>1.7059537499999999</v>
      </c>
    </row>
    <row r="25" spans="1:6" x14ac:dyDescent="0.25">
      <c r="A25" s="4">
        <v>128</v>
      </c>
      <c r="B25" s="5">
        <v>1.571942</v>
      </c>
      <c r="C25" s="5">
        <v>1.5832010000000001</v>
      </c>
      <c r="D25" s="5">
        <v>2.2093439999999998</v>
      </c>
      <c r="E25" s="5">
        <v>2.586964</v>
      </c>
      <c r="F25" s="5">
        <v>1.9878627499999999</v>
      </c>
    </row>
    <row r="26" spans="1:6" x14ac:dyDescent="0.25">
      <c r="A26" s="3" t="s">
        <v>189</v>
      </c>
      <c r="B26" s="5">
        <v>1.1463762500000001</v>
      </c>
      <c r="C26" s="5">
        <v>1.157484</v>
      </c>
      <c r="D26" s="5">
        <v>1.8121662500000002</v>
      </c>
      <c r="E26" s="5">
        <v>2.2035529999999999</v>
      </c>
      <c r="F26" s="5">
        <v>1.5798948749999999</v>
      </c>
    </row>
    <row r="27" spans="1:6" x14ac:dyDescent="0.25">
      <c r="A27" s="4">
        <v>16</v>
      </c>
      <c r="B27" s="5">
        <v>0.86876700000000007</v>
      </c>
      <c r="C27" s="5">
        <v>0.879853</v>
      </c>
      <c r="D27" s="5">
        <v>1.534114</v>
      </c>
      <c r="E27" s="5">
        <v>1.9253149999999999</v>
      </c>
      <c r="F27" s="5">
        <v>1.30201225</v>
      </c>
    </row>
    <row r="28" spans="1:6" x14ac:dyDescent="0.25">
      <c r="A28" s="4">
        <v>32</v>
      </c>
      <c r="B28" s="5">
        <v>0.876309</v>
      </c>
      <c r="C28" s="5">
        <v>0.88740400000000008</v>
      </c>
      <c r="D28" s="5">
        <v>1.5420479999999999</v>
      </c>
      <c r="E28" s="5">
        <v>1.933405</v>
      </c>
      <c r="F28" s="5">
        <v>1.3097915</v>
      </c>
    </row>
    <row r="29" spans="1:6" x14ac:dyDescent="0.25">
      <c r="A29" s="4">
        <v>64</v>
      </c>
      <c r="B29" s="5">
        <v>1.2792570000000001</v>
      </c>
      <c r="C29" s="5">
        <v>1.2903819999999999</v>
      </c>
      <c r="D29" s="5">
        <v>1.9452820000000002</v>
      </c>
      <c r="E29" s="5">
        <v>2.3367839999999998</v>
      </c>
      <c r="F29" s="5">
        <v>1.71292625</v>
      </c>
    </row>
    <row r="30" spans="1:6" x14ac:dyDescent="0.25">
      <c r="A30" s="4">
        <v>128</v>
      </c>
      <c r="B30" s="5">
        <v>1.561172</v>
      </c>
      <c r="C30" s="5">
        <v>1.5722970000000001</v>
      </c>
      <c r="D30" s="5">
        <v>2.2272210000000001</v>
      </c>
      <c r="E30" s="5">
        <v>2.6187080000000003</v>
      </c>
      <c r="F30" s="5">
        <v>1.9948494999999999</v>
      </c>
    </row>
    <row r="31" spans="1:6" x14ac:dyDescent="0.25">
      <c r="A31" s="3" t="s">
        <v>198</v>
      </c>
      <c r="B31" s="5">
        <v>1.1286711</v>
      </c>
      <c r="C31" s="5">
        <v>1.1387674999999999</v>
      </c>
      <c r="D31" s="5">
        <v>1.7072271999999997</v>
      </c>
      <c r="E31" s="5">
        <v>2.0613941999999996</v>
      </c>
      <c r="F31" s="5">
        <v>1.5090150000000002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A66D7-56F5-46C0-B602-C1896B32D51B}">
  <sheetPr codeName="Sheet8"/>
  <dimension ref="A2:F31"/>
  <sheetViews>
    <sheetView topLeftCell="J1" workbookViewId="0">
      <selection activeCell="R31" sqref="R31"/>
    </sheetView>
  </sheetViews>
  <sheetFormatPr defaultRowHeight="15" x14ac:dyDescent="0.25"/>
  <cols>
    <col min="1" max="1" width="21.5703125" bestFit="1" customWidth="1"/>
    <col min="2" max="2" width="16.28515625" bestFit="1" customWidth="1"/>
    <col min="3" max="3" width="10" bestFit="1" customWidth="1"/>
    <col min="4" max="5" width="8" bestFit="1" customWidth="1"/>
    <col min="6" max="6" width="11.28515625" bestFit="1" customWidth="1"/>
    <col min="7" max="7" width="18" bestFit="1" customWidth="1"/>
    <col min="8" max="8" width="11" bestFit="1" customWidth="1"/>
    <col min="9" max="9" width="18" bestFit="1" customWidth="1"/>
    <col min="10" max="10" width="12" bestFit="1" customWidth="1"/>
    <col min="11" max="11" width="23" bestFit="1" customWidth="1"/>
    <col min="12" max="13" width="11" bestFit="1" customWidth="1"/>
    <col min="14" max="14" width="13.5703125" bestFit="1" customWidth="1"/>
    <col min="15" max="15" width="13.140625" bestFit="1" customWidth="1"/>
    <col min="16" max="16" width="12" bestFit="1" customWidth="1"/>
    <col min="17" max="17" width="13.5703125" bestFit="1" customWidth="1"/>
    <col min="18" max="18" width="13.140625" bestFit="1" customWidth="1"/>
    <col min="19" max="19" width="12" bestFit="1" customWidth="1"/>
  </cols>
  <sheetData>
    <row r="2" spans="1:6" x14ac:dyDescent="0.25">
      <c r="A2" s="2" t="s">
        <v>176</v>
      </c>
      <c r="B2" t="s">
        <v>191</v>
      </c>
    </row>
    <row r="4" spans="1:6" x14ac:dyDescent="0.25">
      <c r="A4" s="2" t="s">
        <v>250</v>
      </c>
      <c r="B4" s="2" t="s">
        <v>199</v>
      </c>
    </row>
    <row r="5" spans="1:6" x14ac:dyDescent="0.25">
      <c r="A5" s="2" t="s">
        <v>197</v>
      </c>
      <c r="B5">
        <v>16</v>
      </c>
      <c r="C5">
        <v>32</v>
      </c>
      <c r="D5">
        <v>64</v>
      </c>
      <c r="E5">
        <v>128</v>
      </c>
      <c r="F5" t="s">
        <v>198</v>
      </c>
    </row>
    <row r="6" spans="1:6" x14ac:dyDescent="0.25">
      <c r="A6" s="3" t="s">
        <v>185</v>
      </c>
      <c r="B6" s="5">
        <v>10.051105</v>
      </c>
      <c r="C6" s="5">
        <v>10.103495000000001</v>
      </c>
      <c r="D6" s="5">
        <v>12.731199999999999</v>
      </c>
      <c r="E6" s="5">
        <v>15.2927</v>
      </c>
      <c r="F6" s="5">
        <v>12.044625</v>
      </c>
    </row>
    <row r="7" spans="1:6" x14ac:dyDescent="0.25">
      <c r="A7" s="4">
        <v>16</v>
      </c>
      <c r="B7" s="5">
        <v>8.2387999999999995</v>
      </c>
      <c r="C7" s="5">
        <v>8.2911800000000007</v>
      </c>
      <c r="D7" s="5">
        <v>10.918900000000001</v>
      </c>
      <c r="E7" s="5">
        <v>13.480399999999999</v>
      </c>
      <c r="F7" s="5">
        <v>10.232320000000001</v>
      </c>
    </row>
    <row r="8" spans="1:6" x14ac:dyDescent="0.25">
      <c r="A8" s="4">
        <v>32</v>
      </c>
      <c r="B8" s="5">
        <v>8.2864199999999997</v>
      </c>
      <c r="C8" s="5">
        <v>8.3388000000000009</v>
      </c>
      <c r="D8" s="5">
        <v>10.9665</v>
      </c>
      <c r="E8" s="5">
        <v>13.528</v>
      </c>
      <c r="F8" s="5">
        <v>10.27993</v>
      </c>
    </row>
    <row r="9" spans="1:6" x14ac:dyDescent="0.25">
      <c r="A9" s="4">
        <v>64</v>
      </c>
      <c r="B9" s="5">
        <v>10.6753</v>
      </c>
      <c r="C9" s="5">
        <v>10.7277</v>
      </c>
      <c r="D9" s="5">
        <v>13.355399999999999</v>
      </c>
      <c r="E9" s="5">
        <v>15.9169</v>
      </c>
      <c r="F9" s="5">
        <v>12.668824999999998</v>
      </c>
    </row>
    <row r="10" spans="1:6" x14ac:dyDescent="0.25">
      <c r="A10" s="4">
        <v>128</v>
      </c>
      <c r="B10" s="5">
        <v>13.0039</v>
      </c>
      <c r="C10" s="5">
        <v>13.0563</v>
      </c>
      <c r="D10" s="5">
        <v>15.683999999999999</v>
      </c>
      <c r="E10" s="5">
        <v>18.2455</v>
      </c>
      <c r="F10" s="5">
        <v>14.997425</v>
      </c>
    </row>
    <row r="11" spans="1:6" x14ac:dyDescent="0.25">
      <c r="A11" s="3" t="s">
        <v>186</v>
      </c>
      <c r="B11" s="5">
        <v>10.051105</v>
      </c>
      <c r="C11" s="5">
        <v>10.103495000000001</v>
      </c>
      <c r="D11" s="5">
        <v>12.731199999999999</v>
      </c>
      <c r="E11" s="5">
        <v>15.2927</v>
      </c>
      <c r="F11" s="5">
        <v>12.044625</v>
      </c>
    </row>
    <row r="12" spans="1:6" x14ac:dyDescent="0.25">
      <c r="A12" s="4">
        <v>16</v>
      </c>
      <c r="B12" s="5">
        <v>8.2387999999999995</v>
      </c>
      <c r="C12" s="5">
        <v>8.2911800000000007</v>
      </c>
      <c r="D12" s="5">
        <v>10.918900000000001</v>
      </c>
      <c r="E12" s="5">
        <v>13.480399999999999</v>
      </c>
      <c r="F12" s="5">
        <v>10.232320000000001</v>
      </c>
    </row>
    <row r="13" spans="1:6" x14ac:dyDescent="0.25">
      <c r="A13" s="4">
        <v>32</v>
      </c>
      <c r="B13" s="5">
        <v>8.2864199999999997</v>
      </c>
      <c r="C13" s="5">
        <v>8.3388000000000009</v>
      </c>
      <c r="D13" s="5">
        <v>10.9665</v>
      </c>
      <c r="E13" s="5">
        <v>13.528</v>
      </c>
      <c r="F13" s="5">
        <v>10.27993</v>
      </c>
    </row>
    <row r="14" spans="1:6" x14ac:dyDescent="0.25">
      <c r="A14" s="4">
        <v>64</v>
      </c>
      <c r="B14" s="5">
        <v>10.6753</v>
      </c>
      <c r="C14" s="5">
        <v>10.7277</v>
      </c>
      <c r="D14" s="5">
        <v>13.355399999999999</v>
      </c>
      <c r="E14" s="5">
        <v>15.9169</v>
      </c>
      <c r="F14" s="5">
        <v>12.668824999999998</v>
      </c>
    </row>
    <row r="15" spans="1:6" x14ac:dyDescent="0.25">
      <c r="A15" s="4">
        <v>128</v>
      </c>
      <c r="B15" s="5">
        <v>13.0039</v>
      </c>
      <c r="C15" s="5">
        <v>13.0563</v>
      </c>
      <c r="D15" s="5">
        <v>15.683999999999999</v>
      </c>
      <c r="E15" s="5">
        <v>18.2455</v>
      </c>
      <c r="F15" s="5">
        <v>14.997425</v>
      </c>
    </row>
    <row r="16" spans="1:6" x14ac:dyDescent="0.25">
      <c r="A16" s="3" t="s">
        <v>187</v>
      </c>
      <c r="B16" s="5">
        <v>10.051105</v>
      </c>
      <c r="C16" s="5">
        <v>10.103495000000001</v>
      </c>
      <c r="D16" s="5">
        <v>12.731199999999999</v>
      </c>
      <c r="E16" s="5">
        <v>15.2927</v>
      </c>
      <c r="F16" s="5">
        <v>12.044625</v>
      </c>
    </row>
    <row r="17" spans="1:6" x14ac:dyDescent="0.25">
      <c r="A17" s="4">
        <v>16</v>
      </c>
      <c r="B17" s="5">
        <v>8.2387999999999995</v>
      </c>
      <c r="C17" s="5">
        <v>8.2911800000000007</v>
      </c>
      <c r="D17" s="5">
        <v>10.918900000000001</v>
      </c>
      <c r="E17" s="5">
        <v>13.480399999999999</v>
      </c>
      <c r="F17" s="5">
        <v>10.232320000000001</v>
      </c>
    </row>
    <row r="18" spans="1:6" x14ac:dyDescent="0.25">
      <c r="A18" s="4">
        <v>32</v>
      </c>
      <c r="B18" s="5">
        <v>8.2864199999999997</v>
      </c>
      <c r="C18" s="5">
        <v>8.3388000000000009</v>
      </c>
      <c r="D18" s="5">
        <v>10.9665</v>
      </c>
      <c r="E18" s="5">
        <v>13.528</v>
      </c>
      <c r="F18" s="5">
        <v>10.27993</v>
      </c>
    </row>
    <row r="19" spans="1:6" x14ac:dyDescent="0.25">
      <c r="A19" s="4">
        <v>64</v>
      </c>
      <c r="B19" s="5">
        <v>10.6753</v>
      </c>
      <c r="C19" s="5">
        <v>10.7277</v>
      </c>
      <c r="D19" s="5">
        <v>13.355399999999999</v>
      </c>
      <c r="E19" s="5">
        <v>15.9169</v>
      </c>
      <c r="F19" s="5">
        <v>12.668824999999998</v>
      </c>
    </row>
    <row r="20" spans="1:6" x14ac:dyDescent="0.25">
      <c r="A20" s="4">
        <v>128</v>
      </c>
      <c r="B20" s="5">
        <v>13.0039</v>
      </c>
      <c r="C20" s="5">
        <v>13.0563</v>
      </c>
      <c r="D20" s="5">
        <v>15.683999999999999</v>
      </c>
      <c r="E20" s="5">
        <v>18.2455</v>
      </c>
      <c r="F20" s="5">
        <v>14.997425</v>
      </c>
    </row>
    <row r="21" spans="1:6" x14ac:dyDescent="0.25">
      <c r="A21" s="3" t="s">
        <v>188</v>
      </c>
      <c r="B21" s="5">
        <v>10.051105</v>
      </c>
      <c r="C21" s="5">
        <v>10.103495000000001</v>
      </c>
      <c r="D21" s="5">
        <v>12.731199999999999</v>
      </c>
      <c r="E21" s="5">
        <v>15.2927</v>
      </c>
      <c r="F21" s="5">
        <v>12.044625</v>
      </c>
    </row>
    <row r="22" spans="1:6" x14ac:dyDescent="0.25">
      <c r="A22" s="4">
        <v>16</v>
      </c>
      <c r="B22" s="5">
        <v>8.2387999999999995</v>
      </c>
      <c r="C22" s="5">
        <v>8.2911800000000007</v>
      </c>
      <c r="D22" s="5">
        <v>10.918900000000001</v>
      </c>
      <c r="E22" s="5">
        <v>13.480399999999999</v>
      </c>
      <c r="F22" s="5">
        <v>10.232320000000001</v>
      </c>
    </row>
    <row r="23" spans="1:6" x14ac:dyDescent="0.25">
      <c r="A23" s="4">
        <v>32</v>
      </c>
      <c r="B23" s="5">
        <v>8.2864199999999997</v>
      </c>
      <c r="C23" s="5">
        <v>8.3388000000000009</v>
      </c>
      <c r="D23" s="5">
        <v>10.9665</v>
      </c>
      <c r="E23" s="5">
        <v>13.528</v>
      </c>
      <c r="F23" s="5">
        <v>10.27993</v>
      </c>
    </row>
    <row r="24" spans="1:6" x14ac:dyDescent="0.25">
      <c r="A24" s="4">
        <v>64</v>
      </c>
      <c r="B24" s="5">
        <v>10.6753</v>
      </c>
      <c r="C24" s="5">
        <v>10.7277</v>
      </c>
      <c r="D24" s="5">
        <v>13.355399999999999</v>
      </c>
      <c r="E24" s="5">
        <v>15.9169</v>
      </c>
      <c r="F24" s="5">
        <v>12.668824999999998</v>
      </c>
    </row>
    <row r="25" spans="1:6" x14ac:dyDescent="0.25">
      <c r="A25" s="4">
        <v>128</v>
      </c>
      <c r="B25" s="5">
        <v>13.0039</v>
      </c>
      <c r="C25" s="5">
        <v>13.0563</v>
      </c>
      <c r="D25" s="5">
        <v>15.683999999999999</v>
      </c>
      <c r="E25" s="5">
        <v>18.2455</v>
      </c>
      <c r="F25" s="5">
        <v>14.997425</v>
      </c>
    </row>
    <row r="26" spans="1:6" x14ac:dyDescent="0.25">
      <c r="A26" s="3" t="s">
        <v>189</v>
      </c>
      <c r="B26" s="5">
        <v>10.051105</v>
      </c>
      <c r="C26" s="5">
        <v>10.103495000000001</v>
      </c>
      <c r="D26" s="5">
        <v>12.731199999999999</v>
      </c>
      <c r="E26" s="5">
        <v>15.2927</v>
      </c>
      <c r="F26" s="5">
        <v>12.044625</v>
      </c>
    </row>
    <row r="27" spans="1:6" x14ac:dyDescent="0.25">
      <c r="A27" s="4">
        <v>16</v>
      </c>
      <c r="B27" s="5">
        <v>8.2387999999999995</v>
      </c>
      <c r="C27" s="5">
        <v>8.2911800000000007</v>
      </c>
      <c r="D27" s="5">
        <v>10.918900000000001</v>
      </c>
      <c r="E27" s="5">
        <v>13.480399999999999</v>
      </c>
      <c r="F27" s="5">
        <v>10.232320000000001</v>
      </c>
    </row>
    <row r="28" spans="1:6" x14ac:dyDescent="0.25">
      <c r="A28" s="4">
        <v>32</v>
      </c>
      <c r="B28" s="5">
        <v>8.2864199999999997</v>
      </c>
      <c r="C28" s="5">
        <v>8.3388000000000009</v>
      </c>
      <c r="D28" s="5">
        <v>10.9665</v>
      </c>
      <c r="E28" s="5">
        <v>13.528</v>
      </c>
      <c r="F28" s="5">
        <v>10.27993</v>
      </c>
    </row>
    <row r="29" spans="1:6" x14ac:dyDescent="0.25">
      <c r="A29" s="4">
        <v>64</v>
      </c>
      <c r="B29" s="5">
        <v>10.6753</v>
      </c>
      <c r="C29" s="5">
        <v>10.7277</v>
      </c>
      <c r="D29" s="5">
        <v>13.355399999999999</v>
      </c>
      <c r="E29" s="5">
        <v>15.9169</v>
      </c>
      <c r="F29" s="5">
        <v>12.668824999999998</v>
      </c>
    </row>
    <row r="30" spans="1:6" x14ac:dyDescent="0.25">
      <c r="A30" s="4">
        <v>128</v>
      </c>
      <c r="B30" s="5">
        <v>13.0039</v>
      </c>
      <c r="C30" s="5">
        <v>13.0563</v>
      </c>
      <c r="D30" s="5">
        <v>15.683999999999999</v>
      </c>
      <c r="E30" s="5">
        <v>18.2455</v>
      </c>
      <c r="F30" s="5">
        <v>14.997425</v>
      </c>
    </row>
    <row r="31" spans="1:6" x14ac:dyDescent="0.25">
      <c r="A31" s="3" t="s">
        <v>198</v>
      </c>
      <c r="B31" s="5">
        <v>10.051104999999996</v>
      </c>
      <c r="C31" s="5">
        <v>10.103494999999999</v>
      </c>
      <c r="D31" s="5">
        <v>12.731199999999999</v>
      </c>
      <c r="E31" s="5">
        <v>15.2927</v>
      </c>
      <c r="F31" s="5">
        <v>12.044624999999998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C3D39-4F7F-4CF4-A79E-4302B35D802C}">
  <sheetPr codeName="Sheet9"/>
  <dimension ref="A2:F31"/>
  <sheetViews>
    <sheetView topLeftCell="K1" workbookViewId="0">
      <selection activeCell="M32" sqref="M32"/>
    </sheetView>
  </sheetViews>
  <sheetFormatPr defaultRowHeight="15" x14ac:dyDescent="0.25"/>
  <cols>
    <col min="1" max="1" width="26.5703125" bestFit="1" customWidth="1"/>
    <col min="2" max="2" width="16.28515625" bestFit="1" customWidth="1"/>
    <col min="3" max="6" width="12" bestFit="1" customWidth="1"/>
    <col min="7" max="7" width="23" bestFit="1" customWidth="1"/>
    <col min="8" max="8" width="21.5703125" bestFit="1" customWidth="1"/>
    <col min="9" max="9" width="23" bestFit="1" customWidth="1"/>
    <col min="10" max="10" width="26.5703125" bestFit="1" customWidth="1"/>
    <col min="11" max="11" width="28" bestFit="1" customWidth="1"/>
    <col min="12" max="13" width="11" bestFit="1" customWidth="1"/>
    <col min="14" max="14" width="13.5703125" bestFit="1" customWidth="1"/>
    <col min="15" max="15" width="13.140625" bestFit="1" customWidth="1"/>
    <col min="16" max="16" width="12" bestFit="1" customWidth="1"/>
    <col min="17" max="17" width="13.5703125" bestFit="1" customWidth="1"/>
    <col min="18" max="18" width="13.140625" bestFit="1" customWidth="1"/>
    <col min="19" max="19" width="12" bestFit="1" customWidth="1"/>
  </cols>
  <sheetData>
    <row r="2" spans="1:6" x14ac:dyDescent="0.25">
      <c r="A2" s="2" t="s">
        <v>176</v>
      </c>
      <c r="B2" t="s">
        <v>191</v>
      </c>
    </row>
    <row r="4" spans="1:6" x14ac:dyDescent="0.25">
      <c r="A4" s="2" t="s">
        <v>251</v>
      </c>
      <c r="B4" s="2" t="s">
        <v>199</v>
      </c>
    </row>
    <row r="5" spans="1:6" x14ac:dyDescent="0.25">
      <c r="A5" s="2" t="s">
        <v>197</v>
      </c>
      <c r="B5">
        <v>16</v>
      </c>
      <c r="C5">
        <v>32</v>
      </c>
      <c r="D5">
        <v>64</v>
      </c>
      <c r="E5">
        <v>128</v>
      </c>
      <c r="F5" t="s">
        <v>198</v>
      </c>
    </row>
    <row r="6" spans="1:6" x14ac:dyDescent="0.25">
      <c r="A6" s="3" t="s">
        <v>185</v>
      </c>
      <c r="B6" s="5">
        <v>5.307506675479031</v>
      </c>
      <c r="C6" s="5">
        <v>5.3947820518633707</v>
      </c>
      <c r="D6" s="5">
        <v>3.4450387698323492</v>
      </c>
      <c r="E6" s="5">
        <v>2.8750848146602541</v>
      </c>
      <c r="F6" s="5">
        <v>4.2556030779587513</v>
      </c>
    </row>
    <row r="7" spans="1:6" x14ac:dyDescent="0.25">
      <c r="A7" s="4">
        <v>16</v>
      </c>
      <c r="B7" s="5">
        <v>6.5937982505308108</v>
      </c>
      <c r="C7" s="5">
        <v>6.6908430466922422</v>
      </c>
      <c r="D7" s="5">
        <v>3.9827711691655767</v>
      </c>
      <c r="E7" s="5">
        <v>3.2449044413769643</v>
      </c>
      <c r="F7" s="5">
        <v>5.1280792269413986</v>
      </c>
    </row>
    <row r="8" spans="1:6" x14ac:dyDescent="0.25">
      <c r="A8" s="4">
        <v>32</v>
      </c>
      <c r="B8" s="5">
        <v>6.53702657815768</v>
      </c>
      <c r="C8" s="5">
        <v>6.6338943000790751</v>
      </c>
      <c r="D8" s="5">
        <v>3.9631705415060634</v>
      </c>
      <c r="E8" s="5">
        <v>3.2321670540111826</v>
      </c>
      <c r="F8" s="5">
        <v>5.0915646184385004</v>
      </c>
    </row>
    <row r="9" spans="1:6" x14ac:dyDescent="0.25">
      <c r="A9" s="4">
        <v>64</v>
      </c>
      <c r="B9" s="5">
        <v>4.4553631335702359</v>
      </c>
      <c r="C9" s="5">
        <v>4.5379184037345617</v>
      </c>
      <c r="D9" s="5">
        <v>3.1192890009936405</v>
      </c>
      <c r="E9" s="5">
        <v>2.6584761709761415</v>
      </c>
      <c r="F9" s="5">
        <v>3.6927616773186451</v>
      </c>
    </row>
    <row r="10" spans="1:6" x14ac:dyDescent="0.25">
      <c r="A10" s="4">
        <v>128</v>
      </c>
      <c r="B10" s="5">
        <v>3.6438387396573964</v>
      </c>
      <c r="C10" s="5">
        <v>3.7164724569476024</v>
      </c>
      <c r="D10" s="5">
        <v>2.714924367664115</v>
      </c>
      <c r="E10" s="5">
        <v>2.364791592276728</v>
      </c>
      <c r="F10" s="5">
        <v>3.1100067891364604</v>
      </c>
    </row>
    <row r="11" spans="1:6" x14ac:dyDescent="0.25">
      <c r="A11" s="3" t="s">
        <v>186</v>
      </c>
      <c r="B11" s="5">
        <v>8.0936277273908086</v>
      </c>
      <c r="C11" s="5">
        <v>8.122058941381237</v>
      </c>
      <c r="D11" s="5">
        <v>5.6366296089936005</v>
      </c>
      <c r="E11" s="5">
        <v>4.668795363613734</v>
      </c>
      <c r="F11" s="5">
        <v>6.6302779103448453</v>
      </c>
    </row>
    <row r="12" spans="1:6" x14ac:dyDescent="0.25">
      <c r="A12" s="4">
        <v>16</v>
      </c>
      <c r="B12" s="5">
        <v>10.070696287941349</v>
      </c>
      <c r="C12" s="5">
        <v>9.9810360315400732</v>
      </c>
      <c r="D12" s="5">
        <v>6.5161862065370384</v>
      </c>
      <c r="E12" s="5">
        <v>5.266650515605086</v>
      </c>
      <c r="F12" s="5">
        <v>7.9586422604058873</v>
      </c>
    </row>
    <row r="13" spans="1:6" x14ac:dyDescent="0.25">
      <c r="A13" s="4">
        <v>32</v>
      </c>
      <c r="B13" s="5">
        <v>9.9938038416181971</v>
      </c>
      <c r="C13" s="5">
        <v>10.063804520660991</v>
      </c>
      <c r="D13" s="5">
        <v>6.5838852823828402</v>
      </c>
      <c r="E13" s="5">
        <v>5.3234530045568764</v>
      </c>
      <c r="F13" s="5">
        <v>7.9912366623047273</v>
      </c>
    </row>
    <row r="14" spans="1:6" x14ac:dyDescent="0.25">
      <c r="A14" s="4">
        <v>64</v>
      </c>
      <c r="B14" s="5">
        <v>6.7926476381964171</v>
      </c>
      <c r="C14" s="5">
        <v>6.8626643608114408</v>
      </c>
      <c r="D14" s="5">
        <v>5.0879710189170764</v>
      </c>
      <c r="E14" s="5">
        <v>4.3103819860516035</v>
      </c>
      <c r="F14" s="5">
        <v>5.7634162509941342</v>
      </c>
    </row>
    <row r="15" spans="1:6" x14ac:dyDescent="0.25">
      <c r="A15" s="4">
        <v>128</v>
      </c>
      <c r="B15" s="5">
        <v>5.5173631418072677</v>
      </c>
      <c r="C15" s="5">
        <v>5.5807308525124455</v>
      </c>
      <c r="D15" s="5">
        <v>4.358475928137449</v>
      </c>
      <c r="E15" s="5">
        <v>3.7746959482413693</v>
      </c>
      <c r="F15" s="5">
        <v>4.8078164676746331</v>
      </c>
    </row>
    <row r="16" spans="1:6" x14ac:dyDescent="0.25">
      <c r="A16" s="3" t="s">
        <v>187</v>
      </c>
      <c r="B16" s="5">
        <v>1.3560540897947542</v>
      </c>
      <c r="C16" s="5">
        <v>1.3423028416600338</v>
      </c>
      <c r="D16" s="5">
        <v>0.89948272347965519</v>
      </c>
      <c r="E16" s="5">
        <v>0.74234248932598268</v>
      </c>
      <c r="F16" s="5">
        <v>1.0850455360651066</v>
      </c>
    </row>
    <row r="17" spans="1:6" x14ac:dyDescent="0.25">
      <c r="A17" s="4">
        <v>16</v>
      </c>
      <c r="B17" s="5">
        <v>1.6895049325468197</v>
      </c>
      <c r="C17" s="5">
        <v>1.6689377237423808</v>
      </c>
      <c r="D17" s="5">
        <v>1.051242969976895</v>
      </c>
      <c r="E17" s="5">
        <v>0.84677228264283988</v>
      </c>
      <c r="F17" s="5">
        <v>1.3141144772272337</v>
      </c>
    </row>
    <row r="18" spans="1:6" x14ac:dyDescent="0.25">
      <c r="A18" s="4">
        <v>32</v>
      </c>
      <c r="B18" s="5">
        <v>1.6738525995692473</v>
      </c>
      <c r="C18" s="5">
        <v>1.6543348658082386</v>
      </c>
      <c r="D18" s="5">
        <v>1.0454284809742163</v>
      </c>
      <c r="E18" s="5">
        <v>0.8429898580261096</v>
      </c>
      <c r="F18" s="5">
        <v>1.304151451094453</v>
      </c>
    </row>
    <row r="19" spans="1:6" x14ac:dyDescent="0.25">
      <c r="A19" s="4">
        <v>64</v>
      </c>
      <c r="B19" s="5">
        <v>1.1345712844841171</v>
      </c>
      <c r="C19" s="5">
        <v>1.1257961638914511</v>
      </c>
      <c r="D19" s="5">
        <v>0.80625034030819054</v>
      </c>
      <c r="E19" s="5">
        <v>0.68026927577652629</v>
      </c>
      <c r="F19" s="5">
        <v>0.9367217661150713</v>
      </c>
    </row>
    <row r="20" spans="1:6" x14ac:dyDescent="0.25">
      <c r="A20" s="4">
        <v>128</v>
      </c>
      <c r="B20" s="5">
        <v>0.92628754257883317</v>
      </c>
      <c r="C20" s="5">
        <v>0.92014261319806512</v>
      </c>
      <c r="D20" s="5">
        <v>0.69500910265931926</v>
      </c>
      <c r="E20" s="5">
        <v>0.5993385408584555</v>
      </c>
      <c r="F20" s="5">
        <v>0.78519444982366826</v>
      </c>
    </row>
    <row r="21" spans="1:6" x14ac:dyDescent="0.25">
      <c r="A21" s="3" t="s">
        <v>188</v>
      </c>
      <c r="B21" s="5">
        <v>7.579387515278011</v>
      </c>
      <c r="C21" s="5">
        <v>7.6025025208856931</v>
      </c>
      <c r="D21" s="5">
        <v>4.8598630344812674</v>
      </c>
      <c r="E21" s="5">
        <v>3.9984757376735267</v>
      </c>
      <c r="F21" s="5">
        <v>6.0100572020796248</v>
      </c>
    </row>
    <row r="22" spans="1:6" x14ac:dyDescent="0.25">
      <c r="A22" s="4">
        <v>16</v>
      </c>
      <c r="B22" s="5">
        <v>7.8359759718259667</v>
      </c>
      <c r="C22" s="5">
        <v>7.8251779498285741</v>
      </c>
      <c r="D22" s="5">
        <v>4.7457047563526942</v>
      </c>
      <c r="E22" s="5">
        <v>3.8167913146104473</v>
      </c>
      <c r="F22" s="5">
        <v>6.055912498154421</v>
      </c>
    </row>
    <row r="23" spans="1:6" x14ac:dyDescent="0.25">
      <c r="A23" s="4">
        <v>32</v>
      </c>
      <c r="B23" s="5">
        <v>9.8622714073421847</v>
      </c>
      <c r="C23" s="5">
        <v>9.8830553868957249</v>
      </c>
      <c r="D23" s="5">
        <v>5.8576716417141084</v>
      </c>
      <c r="E23" s="5">
        <v>4.7028410864708521</v>
      </c>
      <c r="F23" s="5">
        <v>7.576459880605718</v>
      </c>
    </row>
    <row r="24" spans="1:6" x14ac:dyDescent="0.25">
      <c r="A24" s="4">
        <v>64</v>
      </c>
      <c r="B24" s="5">
        <v>6.9309601651797506</v>
      </c>
      <c r="C24" s="5">
        <v>6.9717551818250136</v>
      </c>
      <c r="D24" s="5">
        <v>4.7193373057474162</v>
      </c>
      <c r="E24" s="5">
        <v>3.9523996698165318</v>
      </c>
      <c r="F24" s="5">
        <v>5.6436130806421785</v>
      </c>
    </row>
    <row r="25" spans="1:6" x14ac:dyDescent="0.25">
      <c r="A25" s="4">
        <v>128</v>
      </c>
      <c r="B25" s="5">
        <v>5.688342516764143</v>
      </c>
      <c r="C25" s="5">
        <v>5.7300215649934607</v>
      </c>
      <c r="D25" s="5">
        <v>4.1167384341108502</v>
      </c>
      <c r="E25" s="5">
        <v>3.5218708797962752</v>
      </c>
      <c r="F25" s="5">
        <v>4.7642433489161826</v>
      </c>
    </row>
    <row r="26" spans="1:6" x14ac:dyDescent="0.25">
      <c r="A26" s="3" t="s">
        <v>189</v>
      </c>
      <c r="B26" s="5">
        <v>7.3696710798636857</v>
      </c>
      <c r="C26" s="5">
        <v>7.4473278598775607</v>
      </c>
      <c r="D26" s="5">
        <v>4.6775402768542813</v>
      </c>
      <c r="E26" s="5">
        <v>3.8788306912209976</v>
      </c>
      <c r="F26" s="5">
        <v>5.8433424769541311</v>
      </c>
    </row>
    <row r="27" spans="1:6" x14ac:dyDescent="0.25">
      <c r="A27" s="4">
        <v>16</v>
      </c>
      <c r="B27" s="5">
        <v>9.1249414726253946</v>
      </c>
      <c r="C27" s="5">
        <v>9.2030858388565804</v>
      </c>
      <c r="D27" s="5">
        <v>5.3805875471391253</v>
      </c>
      <c r="E27" s="5">
        <v>4.3578934270887038</v>
      </c>
      <c r="F27" s="5">
        <v>7.0166270714274512</v>
      </c>
    </row>
    <row r="28" spans="1:6" x14ac:dyDescent="0.25">
      <c r="A28" s="4">
        <v>32</v>
      </c>
      <c r="B28" s="5">
        <v>9.0579679787607326</v>
      </c>
      <c r="C28" s="5">
        <v>9.1369094429392597</v>
      </c>
      <c r="D28" s="5">
        <v>5.3606474474197006</v>
      </c>
      <c r="E28" s="5">
        <v>4.3459303354581467</v>
      </c>
      <c r="F28" s="5">
        <v>6.9753638011444599</v>
      </c>
    </row>
    <row r="29" spans="1:6" x14ac:dyDescent="0.25">
      <c r="A29" s="4">
        <v>64</v>
      </c>
      <c r="B29" s="5">
        <v>6.2083340465157075</v>
      </c>
      <c r="C29" s="5">
        <v>6.2883041435390439</v>
      </c>
      <c r="D29" s="5">
        <v>4.253597600334615</v>
      </c>
      <c r="E29" s="5">
        <v>3.5994496441494097</v>
      </c>
      <c r="F29" s="5">
        <v>5.0874213586346944</v>
      </c>
    </row>
    <row r="30" spans="1:6" x14ac:dyDescent="0.25">
      <c r="A30" s="4">
        <v>128</v>
      </c>
      <c r="B30" s="5">
        <v>5.087440821552911</v>
      </c>
      <c r="C30" s="5">
        <v>5.161012014175359</v>
      </c>
      <c r="D30" s="5">
        <v>3.7153285125236835</v>
      </c>
      <c r="E30" s="5">
        <v>3.2120493581877301</v>
      </c>
      <c r="F30" s="5">
        <v>4.2939576766099208</v>
      </c>
    </row>
    <row r="31" spans="1:6" x14ac:dyDescent="0.25">
      <c r="A31" s="3" t="s">
        <v>198</v>
      </c>
      <c r="B31" s="5">
        <v>5.9412494175612576</v>
      </c>
      <c r="C31" s="5">
        <v>5.9817948431335797</v>
      </c>
      <c r="D31" s="5">
        <v>3.9037108827282303</v>
      </c>
      <c r="E31" s="5">
        <v>3.2327058192988991</v>
      </c>
      <c r="F31" s="5">
        <v>4.7648652406804919</v>
      </c>
    </row>
  </sheetData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24522D-E4FB-4FD4-A2DC-89CC1CEAD6CC}">
  <sheetPr codeName="Sheet10"/>
  <dimension ref="A2:C25"/>
  <sheetViews>
    <sheetView workbookViewId="0">
      <selection activeCell="M32" sqref="M32"/>
    </sheetView>
  </sheetViews>
  <sheetFormatPr defaultRowHeight="15" x14ac:dyDescent="0.25"/>
  <cols>
    <col min="1" max="1" width="13.28515625" bestFit="1" customWidth="1"/>
    <col min="2" max="2" width="18.140625" bestFit="1" customWidth="1"/>
    <col min="3" max="4" width="12" bestFit="1" customWidth="1"/>
    <col min="5" max="5" width="9" bestFit="1" customWidth="1"/>
    <col min="6" max="6" width="12" bestFit="1" customWidth="1"/>
    <col min="7" max="7" width="9" bestFit="1" customWidth="1"/>
    <col min="8" max="8" width="11.42578125" bestFit="1" customWidth="1"/>
    <col min="9" max="10" width="9" bestFit="1" customWidth="1"/>
    <col min="11" max="11" width="9.7109375" bestFit="1" customWidth="1"/>
    <col min="12" max="12" width="9" bestFit="1" customWidth="1"/>
    <col min="13" max="14" width="12" bestFit="1" customWidth="1"/>
    <col min="15" max="15" width="9" bestFit="1" customWidth="1"/>
    <col min="16" max="16" width="12" bestFit="1" customWidth="1"/>
    <col min="17" max="17" width="13.5703125" bestFit="1" customWidth="1"/>
    <col min="18" max="18" width="13.140625" bestFit="1" customWidth="1"/>
    <col min="19" max="19" width="12" bestFit="1" customWidth="1"/>
  </cols>
  <sheetData>
    <row r="2" spans="1:3" x14ac:dyDescent="0.25">
      <c r="A2" s="2" t="s">
        <v>176</v>
      </c>
      <c r="B2" t="s">
        <v>192</v>
      </c>
    </row>
    <row r="4" spans="1:3" x14ac:dyDescent="0.25">
      <c r="A4" s="2" t="s">
        <v>197</v>
      </c>
      <c r="B4" t="s">
        <v>246</v>
      </c>
      <c r="C4" t="s">
        <v>249</v>
      </c>
    </row>
    <row r="5" spans="1:3" x14ac:dyDescent="0.25">
      <c r="A5" s="3" t="s">
        <v>185</v>
      </c>
      <c r="B5" s="5">
        <v>1.3532636666666666</v>
      </c>
      <c r="C5" s="5">
        <v>3.9326866666666667</v>
      </c>
    </row>
    <row r="6" spans="1:3" x14ac:dyDescent="0.25">
      <c r="A6" s="4">
        <v>1</v>
      </c>
      <c r="B6" s="5">
        <v>1.275447</v>
      </c>
      <c r="C6" s="5">
        <v>3.7820100000000001</v>
      </c>
    </row>
    <row r="7" spans="1:3" x14ac:dyDescent="0.25">
      <c r="A7" s="4">
        <v>2</v>
      </c>
      <c r="B7" s="5">
        <v>1.2846439999999999</v>
      </c>
      <c r="C7" s="5">
        <v>3.8013499999999998</v>
      </c>
    </row>
    <row r="8" spans="1:3" x14ac:dyDescent="0.25">
      <c r="A8" s="4">
        <v>4</v>
      </c>
      <c r="B8" s="5">
        <v>1.4997</v>
      </c>
      <c r="C8" s="5">
        <v>4.2146999999999997</v>
      </c>
    </row>
    <row r="9" spans="1:3" x14ac:dyDescent="0.25">
      <c r="A9" s="3" t="s">
        <v>186</v>
      </c>
      <c r="B9" s="5">
        <v>1.2765513333333334</v>
      </c>
      <c r="C9" s="5">
        <v>3.9326866666666667</v>
      </c>
    </row>
    <row r="10" spans="1:3" x14ac:dyDescent="0.25">
      <c r="A10" s="4">
        <v>1</v>
      </c>
      <c r="B10" s="5">
        <v>1.234885</v>
      </c>
      <c r="C10" s="5">
        <v>3.7820100000000001</v>
      </c>
    </row>
    <row r="11" spans="1:3" x14ac:dyDescent="0.25">
      <c r="A11" s="4">
        <v>2</v>
      </c>
      <c r="B11" s="5">
        <v>1.237128</v>
      </c>
      <c r="C11" s="5">
        <v>3.8013499999999998</v>
      </c>
    </row>
    <row r="12" spans="1:3" x14ac:dyDescent="0.25">
      <c r="A12" s="4">
        <v>4</v>
      </c>
      <c r="B12" s="5">
        <v>1.3576410000000001</v>
      </c>
      <c r="C12" s="5">
        <v>4.2146999999999997</v>
      </c>
    </row>
    <row r="13" spans="1:3" x14ac:dyDescent="0.25">
      <c r="A13" s="3" t="s">
        <v>187</v>
      </c>
      <c r="B13" s="5">
        <v>1.3206256666666665</v>
      </c>
      <c r="C13" s="5">
        <v>3.9326866666666667</v>
      </c>
    </row>
    <row r="14" spans="1:3" x14ac:dyDescent="0.25">
      <c r="A14" s="4">
        <v>1</v>
      </c>
      <c r="B14" s="5">
        <v>1.2613319999999999</v>
      </c>
      <c r="C14" s="5">
        <v>3.7820100000000001</v>
      </c>
    </row>
    <row r="15" spans="1:3" x14ac:dyDescent="0.25">
      <c r="A15" s="4">
        <v>2</v>
      </c>
      <c r="B15" s="5">
        <v>1.2636189999999998</v>
      </c>
      <c r="C15" s="5">
        <v>3.8013499999999998</v>
      </c>
    </row>
    <row r="16" spans="1:3" x14ac:dyDescent="0.25">
      <c r="A16" s="4">
        <v>4</v>
      </c>
      <c r="B16" s="5">
        <v>1.4369259999999999</v>
      </c>
      <c r="C16" s="5">
        <v>4.2146999999999997</v>
      </c>
    </row>
    <row r="17" spans="1:3" x14ac:dyDescent="0.25">
      <c r="A17" s="3" t="s">
        <v>188</v>
      </c>
      <c r="B17" s="5">
        <v>1.3863789999999998</v>
      </c>
      <c r="C17" s="5">
        <v>3.9326866666666667</v>
      </c>
    </row>
    <row r="18" spans="1:3" x14ac:dyDescent="0.25">
      <c r="A18" s="4">
        <v>1</v>
      </c>
      <c r="B18" s="5">
        <v>1.301301</v>
      </c>
      <c r="C18" s="5">
        <v>3.7820100000000001</v>
      </c>
    </row>
    <row r="19" spans="1:3" x14ac:dyDescent="0.25">
      <c r="A19" s="4">
        <v>2</v>
      </c>
      <c r="B19" s="5">
        <v>1.3097619999999999</v>
      </c>
      <c r="C19" s="5">
        <v>3.8013499999999998</v>
      </c>
    </row>
    <row r="20" spans="1:3" x14ac:dyDescent="0.25">
      <c r="A20" s="4">
        <v>4</v>
      </c>
      <c r="B20" s="5">
        <v>1.548074</v>
      </c>
      <c r="C20" s="5">
        <v>4.2146999999999997</v>
      </c>
    </row>
    <row r="21" spans="1:3" x14ac:dyDescent="0.25">
      <c r="A21" s="3" t="s">
        <v>189</v>
      </c>
      <c r="B21" s="5">
        <v>1.3762416666666664</v>
      </c>
      <c r="C21" s="5">
        <v>3.9326866666666667</v>
      </c>
    </row>
    <row r="22" spans="1:3" x14ac:dyDescent="0.25">
      <c r="A22" s="4">
        <v>1</v>
      </c>
      <c r="B22" s="5">
        <v>1.2903819999999999</v>
      </c>
      <c r="C22" s="5">
        <v>3.7820100000000001</v>
      </c>
    </row>
    <row r="23" spans="1:3" x14ac:dyDescent="0.25">
      <c r="A23" s="4">
        <v>2</v>
      </c>
      <c r="B23" s="5">
        <v>1.3035189999999999</v>
      </c>
      <c r="C23" s="5">
        <v>3.8013499999999998</v>
      </c>
    </row>
    <row r="24" spans="1:3" x14ac:dyDescent="0.25">
      <c r="A24" s="4">
        <v>4</v>
      </c>
      <c r="B24" s="5">
        <v>1.534824</v>
      </c>
      <c r="C24" s="5">
        <v>4.2146999999999997</v>
      </c>
    </row>
    <row r="25" spans="1:3" x14ac:dyDescent="0.25">
      <c r="A25" s="3" t="s">
        <v>198</v>
      </c>
      <c r="B25" s="5">
        <v>1.3426122666666669</v>
      </c>
      <c r="C25" s="5">
        <v>3.9326866666666667</v>
      </c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5C6C7-6F52-4C31-B551-BCFE8A504C5E}">
  <sheetPr codeName="Sheet11"/>
  <dimension ref="A2:B25"/>
  <sheetViews>
    <sheetView workbookViewId="0">
      <selection activeCell="L32" sqref="L32"/>
    </sheetView>
  </sheetViews>
  <sheetFormatPr defaultRowHeight="15" x14ac:dyDescent="0.25"/>
  <cols>
    <col min="1" max="1" width="13.28515625" bestFit="1" customWidth="1"/>
    <col min="2" max="2" width="21.5703125" bestFit="1" customWidth="1"/>
    <col min="3" max="5" width="18" bestFit="1" customWidth="1"/>
    <col min="6" max="6" width="12" bestFit="1" customWidth="1"/>
    <col min="7" max="7" width="9" bestFit="1" customWidth="1"/>
    <col min="8" max="8" width="11.42578125" bestFit="1" customWidth="1"/>
    <col min="9" max="10" width="9" bestFit="1" customWidth="1"/>
    <col min="11" max="11" width="9.7109375" bestFit="1" customWidth="1"/>
    <col min="12" max="12" width="9" bestFit="1" customWidth="1"/>
    <col min="13" max="14" width="12" bestFit="1" customWidth="1"/>
    <col min="15" max="15" width="9" bestFit="1" customWidth="1"/>
    <col min="16" max="16" width="12" bestFit="1" customWidth="1"/>
    <col min="17" max="17" width="13.5703125" bestFit="1" customWidth="1"/>
    <col min="18" max="18" width="13.140625" bestFit="1" customWidth="1"/>
    <col min="19" max="19" width="12" bestFit="1" customWidth="1"/>
  </cols>
  <sheetData>
    <row r="2" spans="1:2" x14ac:dyDescent="0.25">
      <c r="A2" s="2" t="s">
        <v>176</v>
      </c>
      <c r="B2" t="s">
        <v>192</v>
      </c>
    </row>
    <row r="4" spans="1:2" x14ac:dyDescent="0.25">
      <c r="A4" s="2" t="s">
        <v>197</v>
      </c>
      <c r="B4" t="s">
        <v>250</v>
      </c>
    </row>
    <row r="5" spans="1:2" x14ac:dyDescent="0.25">
      <c r="A5" s="3" t="s">
        <v>185</v>
      </c>
      <c r="B5" s="5">
        <v>11.031933333333333</v>
      </c>
    </row>
    <row r="6" spans="1:2" x14ac:dyDescent="0.25">
      <c r="A6" s="4">
        <v>1</v>
      </c>
      <c r="B6" s="5">
        <v>10.7277</v>
      </c>
    </row>
    <row r="7" spans="1:2" x14ac:dyDescent="0.25">
      <c r="A7" s="4">
        <v>2</v>
      </c>
      <c r="B7" s="5">
        <v>10.764200000000001</v>
      </c>
    </row>
    <row r="8" spans="1:2" x14ac:dyDescent="0.25">
      <c r="A8" s="4">
        <v>4</v>
      </c>
      <c r="B8" s="5">
        <v>11.603899999999999</v>
      </c>
    </row>
    <row r="9" spans="1:2" x14ac:dyDescent="0.25">
      <c r="A9" s="3" t="s">
        <v>186</v>
      </c>
      <c r="B9" s="5">
        <v>11.031933333333333</v>
      </c>
    </row>
    <row r="10" spans="1:2" x14ac:dyDescent="0.25">
      <c r="A10" s="4">
        <v>1</v>
      </c>
      <c r="B10" s="5">
        <v>10.7277</v>
      </c>
    </row>
    <row r="11" spans="1:2" x14ac:dyDescent="0.25">
      <c r="A11" s="4">
        <v>2</v>
      </c>
      <c r="B11" s="5">
        <v>10.764200000000001</v>
      </c>
    </row>
    <row r="12" spans="1:2" x14ac:dyDescent="0.25">
      <c r="A12" s="4">
        <v>4</v>
      </c>
      <c r="B12" s="5">
        <v>11.603899999999999</v>
      </c>
    </row>
    <row r="13" spans="1:2" x14ac:dyDescent="0.25">
      <c r="A13" s="3" t="s">
        <v>187</v>
      </c>
      <c r="B13" s="5">
        <v>11.031933333333333</v>
      </c>
    </row>
    <row r="14" spans="1:2" x14ac:dyDescent="0.25">
      <c r="A14" s="4">
        <v>1</v>
      </c>
      <c r="B14" s="5">
        <v>10.7277</v>
      </c>
    </row>
    <row r="15" spans="1:2" x14ac:dyDescent="0.25">
      <c r="A15" s="4">
        <v>2</v>
      </c>
      <c r="B15" s="5">
        <v>10.764200000000001</v>
      </c>
    </row>
    <row r="16" spans="1:2" x14ac:dyDescent="0.25">
      <c r="A16" s="4">
        <v>4</v>
      </c>
      <c r="B16" s="5">
        <v>11.603899999999999</v>
      </c>
    </row>
    <row r="17" spans="1:2" x14ac:dyDescent="0.25">
      <c r="A17" s="3" t="s">
        <v>188</v>
      </c>
      <c r="B17" s="5">
        <v>11.031933333333333</v>
      </c>
    </row>
    <row r="18" spans="1:2" x14ac:dyDescent="0.25">
      <c r="A18" s="4">
        <v>1</v>
      </c>
      <c r="B18" s="5">
        <v>10.7277</v>
      </c>
    </row>
    <row r="19" spans="1:2" x14ac:dyDescent="0.25">
      <c r="A19" s="4">
        <v>2</v>
      </c>
      <c r="B19" s="5">
        <v>10.764200000000001</v>
      </c>
    </row>
    <row r="20" spans="1:2" x14ac:dyDescent="0.25">
      <c r="A20" s="4">
        <v>4</v>
      </c>
      <c r="B20" s="5">
        <v>11.603899999999999</v>
      </c>
    </row>
    <row r="21" spans="1:2" x14ac:dyDescent="0.25">
      <c r="A21" s="3" t="s">
        <v>189</v>
      </c>
      <c r="B21" s="5">
        <v>11.031933333333333</v>
      </c>
    </row>
    <row r="22" spans="1:2" x14ac:dyDescent="0.25">
      <c r="A22" s="4">
        <v>1</v>
      </c>
      <c r="B22" s="5">
        <v>10.7277</v>
      </c>
    </row>
    <row r="23" spans="1:2" x14ac:dyDescent="0.25">
      <c r="A23" s="4">
        <v>2</v>
      </c>
      <c r="B23" s="5">
        <v>10.764200000000001</v>
      </c>
    </row>
    <row r="24" spans="1:2" x14ac:dyDescent="0.25">
      <c r="A24" s="4">
        <v>4</v>
      </c>
      <c r="B24" s="5">
        <v>11.603899999999999</v>
      </c>
    </row>
    <row r="25" spans="1:2" x14ac:dyDescent="0.25">
      <c r="A25" s="3" t="s">
        <v>198</v>
      </c>
      <c r="B25" s="5">
        <v>11.031933333333333</v>
      </c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32F23-C433-49D4-B809-57C25FE66CA1}">
  <sheetPr codeName="Sheet12"/>
  <dimension ref="A2:B25"/>
  <sheetViews>
    <sheetView topLeftCell="C1" workbookViewId="0">
      <selection activeCell="E6" sqref="E6"/>
    </sheetView>
  </sheetViews>
  <sheetFormatPr defaultRowHeight="15" x14ac:dyDescent="0.25"/>
  <cols>
    <col min="1" max="1" width="13.28515625" bestFit="1" customWidth="1"/>
    <col min="2" max="2" width="26.5703125" bestFit="1" customWidth="1"/>
    <col min="3" max="3" width="23" bestFit="1" customWidth="1"/>
    <col min="4" max="5" width="18" bestFit="1" customWidth="1"/>
    <col min="6" max="6" width="12" bestFit="1" customWidth="1"/>
    <col min="7" max="7" width="9" bestFit="1" customWidth="1"/>
    <col min="8" max="8" width="11.42578125" bestFit="1" customWidth="1"/>
    <col min="9" max="10" width="9" bestFit="1" customWidth="1"/>
    <col min="11" max="11" width="9.7109375" bestFit="1" customWidth="1"/>
    <col min="12" max="12" width="9" bestFit="1" customWidth="1"/>
    <col min="13" max="14" width="12" bestFit="1" customWidth="1"/>
    <col min="15" max="15" width="9" bestFit="1" customWidth="1"/>
    <col min="16" max="16" width="12" bestFit="1" customWidth="1"/>
    <col min="17" max="17" width="13.5703125" bestFit="1" customWidth="1"/>
    <col min="18" max="18" width="13.140625" bestFit="1" customWidth="1"/>
    <col min="19" max="19" width="12" bestFit="1" customWidth="1"/>
  </cols>
  <sheetData>
    <row r="2" spans="1:2" x14ac:dyDescent="0.25">
      <c r="A2" s="2" t="s">
        <v>176</v>
      </c>
      <c r="B2" t="s">
        <v>192</v>
      </c>
    </row>
    <row r="4" spans="1:2" x14ac:dyDescent="0.25">
      <c r="A4" s="2" t="s">
        <v>197</v>
      </c>
      <c r="B4" t="s">
        <v>251</v>
      </c>
    </row>
    <row r="5" spans="1:2" x14ac:dyDescent="0.25">
      <c r="A5" s="3" t="s">
        <v>185</v>
      </c>
      <c r="B5" s="5">
        <v>4.3764415099823948</v>
      </c>
    </row>
    <row r="6" spans="1:2" x14ac:dyDescent="0.25">
      <c r="A6" s="4">
        <v>1</v>
      </c>
      <c r="B6" s="5">
        <v>4.5379184037345617</v>
      </c>
    </row>
    <row r="7" spans="1:2" x14ac:dyDescent="0.25">
      <c r="A7" s="4">
        <v>2</v>
      </c>
      <c r="B7" s="5">
        <v>4.6106530355599018</v>
      </c>
    </row>
    <row r="8" spans="1:2" x14ac:dyDescent="0.25">
      <c r="A8" s="4">
        <v>4</v>
      </c>
      <c r="B8" s="5">
        <v>3.9807530906527191</v>
      </c>
    </row>
    <row r="9" spans="1:2" x14ac:dyDescent="0.25">
      <c r="A9" s="3" t="s">
        <v>186</v>
      </c>
      <c r="B9" s="5">
        <v>6.7269282964991497</v>
      </c>
    </row>
    <row r="10" spans="1:2" x14ac:dyDescent="0.25">
      <c r="A10" s="4">
        <v>1</v>
      </c>
      <c r="B10" s="5">
        <v>6.8626643608114408</v>
      </c>
    </row>
    <row r="11" spans="1:2" x14ac:dyDescent="0.25">
      <c r="A11" s="4">
        <v>2</v>
      </c>
      <c r="B11" s="5">
        <v>6.9683497554109239</v>
      </c>
    </row>
    <row r="12" spans="1:2" x14ac:dyDescent="0.25">
      <c r="A12" s="4">
        <v>4</v>
      </c>
      <c r="B12" s="5">
        <v>6.3497707732750852</v>
      </c>
    </row>
    <row r="13" spans="1:2" x14ac:dyDescent="0.25">
      <c r="A13" s="3" t="s">
        <v>187</v>
      </c>
      <c r="B13" s="5">
        <v>1.0793551001074437</v>
      </c>
    </row>
    <row r="14" spans="1:2" x14ac:dyDescent="0.25">
      <c r="A14" s="4">
        <v>1</v>
      </c>
      <c r="B14" s="5">
        <v>1.1257961638914511</v>
      </c>
    </row>
    <row r="15" spans="1:2" x14ac:dyDescent="0.25">
      <c r="A15" s="4">
        <v>2</v>
      </c>
      <c r="B15" s="5">
        <v>1.1239118186025117</v>
      </c>
    </row>
    <row r="16" spans="1:2" x14ac:dyDescent="0.25">
      <c r="A16" s="4">
        <v>4</v>
      </c>
      <c r="B16" s="5">
        <v>0.98835731782836844</v>
      </c>
    </row>
    <row r="17" spans="1:2" x14ac:dyDescent="0.25">
      <c r="A17" s="3" t="s">
        <v>188</v>
      </c>
      <c r="B17" s="5">
        <v>6.6032970391673098</v>
      </c>
    </row>
    <row r="18" spans="1:2" x14ac:dyDescent="0.25">
      <c r="A18" s="4">
        <v>1</v>
      </c>
      <c r="B18" s="5">
        <v>6.9717551818250136</v>
      </c>
    </row>
    <row r="19" spans="1:2" x14ac:dyDescent="0.25">
      <c r="A19" s="4">
        <v>2</v>
      </c>
      <c r="B19" s="5">
        <v>6.9528958341828906</v>
      </c>
    </row>
    <row r="20" spans="1:2" x14ac:dyDescent="0.25">
      <c r="A20" s="4">
        <v>4</v>
      </c>
      <c r="B20" s="5">
        <v>5.8852401014940261</v>
      </c>
    </row>
    <row r="21" spans="1:2" x14ac:dyDescent="0.25">
      <c r="A21" s="3" t="s">
        <v>189</v>
      </c>
      <c r="B21" s="5">
        <v>6.0812150480075138</v>
      </c>
    </row>
    <row r="22" spans="1:2" x14ac:dyDescent="0.25">
      <c r="A22" s="4">
        <v>1</v>
      </c>
      <c r="B22" s="5">
        <v>6.2883041435390439</v>
      </c>
    </row>
    <row r="23" spans="1:2" x14ac:dyDescent="0.25">
      <c r="A23" s="4">
        <v>2</v>
      </c>
      <c r="B23" s="5">
        <v>6.4575264559854313</v>
      </c>
    </row>
    <row r="24" spans="1:2" x14ac:dyDescent="0.25">
      <c r="A24" s="4">
        <v>4</v>
      </c>
      <c r="B24" s="5">
        <v>5.4978145444980662</v>
      </c>
    </row>
    <row r="25" spans="1:2" x14ac:dyDescent="0.25">
      <c r="A25" s="3" t="s">
        <v>198</v>
      </c>
      <c r="B25" s="5">
        <v>4.9734473987527625</v>
      </c>
    </row>
  </sheetData>
  <pageMargins left="0.7" right="0.7" top="0.75" bottom="0.75" header="0.3" footer="0.3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2F3D2-BB9D-4444-9349-4DA56318034C}">
  <sheetPr codeName="Sheet13"/>
  <dimension ref="A2:C25"/>
  <sheetViews>
    <sheetView workbookViewId="0">
      <selection activeCell="L32" sqref="L32"/>
    </sheetView>
  </sheetViews>
  <sheetFormatPr defaultRowHeight="15" x14ac:dyDescent="0.25"/>
  <cols>
    <col min="1" max="1" width="13.28515625" bestFit="1" customWidth="1"/>
    <col min="2" max="2" width="17.42578125" bestFit="1" customWidth="1"/>
    <col min="3" max="4" width="12" bestFit="1" customWidth="1"/>
    <col min="5" max="5" width="9" bestFit="1" customWidth="1"/>
    <col min="6" max="6" width="12" bestFit="1" customWidth="1"/>
    <col min="7" max="7" width="9" bestFit="1" customWidth="1"/>
    <col min="8" max="8" width="11.42578125" bestFit="1" customWidth="1"/>
    <col min="9" max="10" width="9" bestFit="1" customWidth="1"/>
    <col min="11" max="11" width="9.7109375" bestFit="1" customWidth="1"/>
    <col min="12" max="12" width="9" bestFit="1" customWidth="1"/>
    <col min="13" max="14" width="12" bestFit="1" customWidth="1"/>
    <col min="15" max="15" width="9" bestFit="1" customWidth="1"/>
    <col min="16" max="16" width="12" bestFit="1" customWidth="1"/>
    <col min="17" max="17" width="13.5703125" bestFit="1" customWidth="1"/>
    <col min="18" max="18" width="13.140625" bestFit="1" customWidth="1"/>
    <col min="19" max="19" width="12" bestFit="1" customWidth="1"/>
  </cols>
  <sheetData>
    <row r="2" spans="1:3" x14ac:dyDescent="0.25">
      <c r="A2" s="2" t="s">
        <v>176</v>
      </c>
      <c r="B2" t="s">
        <v>193</v>
      </c>
    </row>
    <row r="4" spans="1:3" x14ac:dyDescent="0.25">
      <c r="A4" s="2" t="s">
        <v>197</v>
      </c>
      <c r="B4" t="s">
        <v>246</v>
      </c>
      <c r="C4" t="s">
        <v>249</v>
      </c>
    </row>
    <row r="5" spans="1:3" x14ac:dyDescent="0.25">
      <c r="A5" s="3" t="s">
        <v>185</v>
      </c>
      <c r="B5" s="5">
        <v>1.1852396666666667</v>
      </c>
      <c r="C5" s="5">
        <v>3.684533333333333</v>
      </c>
    </row>
    <row r="6" spans="1:3" x14ac:dyDescent="0.25">
      <c r="A6" s="4">
        <v>1</v>
      </c>
      <c r="B6" s="5">
        <v>1.275447</v>
      </c>
      <c r="C6" s="5">
        <v>3.7820100000000001</v>
      </c>
    </row>
    <row r="7" spans="1:3" x14ac:dyDescent="0.25">
      <c r="A7" s="4">
        <v>2</v>
      </c>
      <c r="B7" s="5">
        <v>1.2776879999999999</v>
      </c>
      <c r="C7" s="5">
        <v>3.7873899999999998</v>
      </c>
    </row>
    <row r="8" spans="1:3" x14ac:dyDescent="0.25">
      <c r="A8" s="4">
        <v>4</v>
      </c>
      <c r="B8" s="5">
        <v>1.0025839999999999</v>
      </c>
      <c r="C8" s="5">
        <v>3.4842</v>
      </c>
    </row>
    <row r="9" spans="1:3" x14ac:dyDescent="0.25">
      <c r="A9" s="3" t="s">
        <v>186</v>
      </c>
      <c r="B9" s="5">
        <v>1.1446699999999999</v>
      </c>
      <c r="C9" s="5">
        <v>3.684533333333333</v>
      </c>
    </row>
    <row r="10" spans="1:3" x14ac:dyDescent="0.25">
      <c r="A10" s="4">
        <v>1</v>
      </c>
      <c r="B10" s="5">
        <v>1.234885</v>
      </c>
      <c r="C10" s="5">
        <v>3.7820100000000001</v>
      </c>
    </row>
    <row r="11" spans="1:3" x14ac:dyDescent="0.25">
      <c r="A11" s="4">
        <v>2</v>
      </c>
      <c r="B11" s="5">
        <v>1.2369699999999999</v>
      </c>
      <c r="C11" s="5">
        <v>3.7873899999999998</v>
      </c>
    </row>
    <row r="12" spans="1:3" x14ac:dyDescent="0.25">
      <c r="A12" s="4">
        <v>4</v>
      </c>
      <c r="B12" s="5">
        <v>0.96215499999999998</v>
      </c>
      <c r="C12" s="5">
        <v>3.4842</v>
      </c>
    </row>
    <row r="13" spans="1:3" x14ac:dyDescent="0.25">
      <c r="A13" s="3" t="s">
        <v>187</v>
      </c>
      <c r="B13" s="5">
        <v>1.1711263333333333</v>
      </c>
      <c r="C13" s="5">
        <v>3.684533333333333</v>
      </c>
    </row>
    <row r="14" spans="1:3" x14ac:dyDescent="0.25">
      <c r="A14" s="4">
        <v>1</v>
      </c>
      <c r="B14" s="5">
        <v>1.2613319999999999</v>
      </c>
      <c r="C14" s="5">
        <v>3.7820100000000001</v>
      </c>
    </row>
    <row r="15" spans="1:3" x14ac:dyDescent="0.25">
      <c r="A15" s="4">
        <v>2</v>
      </c>
      <c r="B15" s="5">
        <v>1.2635730000000001</v>
      </c>
      <c r="C15" s="5">
        <v>3.7873899999999998</v>
      </c>
    </row>
    <row r="16" spans="1:3" x14ac:dyDescent="0.25">
      <c r="A16" s="4">
        <v>4</v>
      </c>
      <c r="B16" s="5">
        <v>0.98847399999999996</v>
      </c>
      <c r="C16" s="5">
        <v>3.4842</v>
      </c>
    </row>
    <row r="17" spans="1:3" x14ac:dyDescent="0.25">
      <c r="A17" s="3" t="s">
        <v>188</v>
      </c>
      <c r="B17" s="5">
        <v>1.2110856666666667</v>
      </c>
      <c r="C17" s="5">
        <v>3.684533333333333</v>
      </c>
    </row>
    <row r="18" spans="1:3" x14ac:dyDescent="0.25">
      <c r="A18" s="4">
        <v>1</v>
      </c>
      <c r="B18" s="5">
        <v>1.301301</v>
      </c>
      <c r="C18" s="5">
        <v>3.7820100000000001</v>
      </c>
    </row>
    <row r="19" spans="1:3" x14ac:dyDescent="0.25">
      <c r="A19" s="4">
        <v>2</v>
      </c>
      <c r="B19" s="5">
        <v>1.3035220000000001</v>
      </c>
      <c r="C19" s="5">
        <v>3.7873899999999998</v>
      </c>
    </row>
    <row r="20" spans="1:3" x14ac:dyDescent="0.25">
      <c r="A20" s="4">
        <v>4</v>
      </c>
      <c r="B20" s="5">
        <v>1.0284339999999998</v>
      </c>
      <c r="C20" s="5">
        <v>3.4842</v>
      </c>
    </row>
    <row r="21" spans="1:3" x14ac:dyDescent="0.25">
      <c r="A21" s="3" t="s">
        <v>189</v>
      </c>
      <c r="B21" s="5">
        <v>1.2001743333333332</v>
      </c>
      <c r="C21" s="5">
        <v>3.684533333333333</v>
      </c>
    </row>
    <row r="22" spans="1:3" x14ac:dyDescent="0.25">
      <c r="A22" s="4">
        <v>1</v>
      </c>
      <c r="B22" s="5">
        <v>1.2903819999999999</v>
      </c>
      <c r="C22" s="5">
        <v>3.7820100000000001</v>
      </c>
    </row>
    <row r="23" spans="1:3" x14ac:dyDescent="0.25">
      <c r="A23" s="4">
        <v>2</v>
      </c>
      <c r="B23" s="5">
        <v>1.292621</v>
      </c>
      <c r="C23" s="5">
        <v>3.7873899999999998</v>
      </c>
    </row>
    <row r="24" spans="1:3" x14ac:dyDescent="0.25">
      <c r="A24" s="4">
        <v>4</v>
      </c>
      <c r="B24" s="5">
        <v>1.01752</v>
      </c>
      <c r="C24" s="5">
        <v>3.4842</v>
      </c>
    </row>
    <row r="25" spans="1:3" x14ac:dyDescent="0.25">
      <c r="A25" s="3" t="s">
        <v>198</v>
      </c>
      <c r="B25" s="5">
        <v>1.1824592</v>
      </c>
      <c r="C25" s="5">
        <v>3.6845333333333334</v>
      </c>
    </row>
  </sheetData>
  <pageMargins left="0.7" right="0.7" top="0.75" bottom="0.75" header="0.3" footer="0.3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B274A-53ED-49F2-97BF-B92ABF4E04F4}">
  <sheetPr codeName="Sheet14"/>
  <dimension ref="A2:B25"/>
  <sheetViews>
    <sheetView workbookViewId="0">
      <selection activeCell="N32" sqref="N32"/>
    </sheetView>
  </sheetViews>
  <sheetFormatPr defaultRowHeight="15" x14ac:dyDescent="0.25"/>
  <cols>
    <col min="1" max="1" width="13.28515625" bestFit="1" customWidth="1"/>
    <col min="2" max="2" width="21.5703125" bestFit="1" customWidth="1"/>
    <col min="3" max="5" width="18" bestFit="1" customWidth="1"/>
    <col min="6" max="6" width="12" bestFit="1" customWidth="1"/>
    <col min="7" max="7" width="9" bestFit="1" customWidth="1"/>
    <col min="8" max="8" width="11.42578125" bestFit="1" customWidth="1"/>
    <col min="9" max="10" width="9" bestFit="1" customWidth="1"/>
    <col min="11" max="11" width="9.7109375" bestFit="1" customWidth="1"/>
    <col min="12" max="12" width="9" bestFit="1" customWidth="1"/>
    <col min="13" max="14" width="12" bestFit="1" customWidth="1"/>
    <col min="15" max="15" width="9" bestFit="1" customWidth="1"/>
    <col min="16" max="16" width="12" bestFit="1" customWidth="1"/>
    <col min="17" max="17" width="13.5703125" bestFit="1" customWidth="1"/>
    <col min="18" max="18" width="13.140625" bestFit="1" customWidth="1"/>
    <col min="19" max="19" width="12" bestFit="1" customWidth="1"/>
  </cols>
  <sheetData>
    <row r="2" spans="1:2" x14ac:dyDescent="0.25">
      <c r="A2" s="2" t="s">
        <v>176</v>
      </c>
      <c r="B2" t="s">
        <v>193</v>
      </c>
    </row>
    <row r="4" spans="1:2" x14ac:dyDescent="0.25">
      <c r="A4" s="2" t="s">
        <v>197</v>
      </c>
      <c r="B4" t="s">
        <v>250</v>
      </c>
    </row>
    <row r="5" spans="1:2" x14ac:dyDescent="0.25">
      <c r="A5" s="3" t="s">
        <v>185</v>
      </c>
      <c r="B5" s="5">
        <v>10.407356666666667</v>
      </c>
    </row>
    <row r="6" spans="1:2" x14ac:dyDescent="0.25">
      <c r="A6" s="4">
        <v>1</v>
      </c>
      <c r="B6" s="5">
        <v>10.7277</v>
      </c>
    </row>
    <row r="7" spans="1:2" x14ac:dyDescent="0.25">
      <c r="A7" s="4">
        <v>2</v>
      </c>
      <c r="B7" s="5">
        <v>10.7638</v>
      </c>
    </row>
    <row r="8" spans="1:2" x14ac:dyDescent="0.25">
      <c r="A8" s="4">
        <v>4</v>
      </c>
      <c r="B8" s="5">
        <v>9.7305700000000002</v>
      </c>
    </row>
    <row r="9" spans="1:2" x14ac:dyDescent="0.25">
      <c r="A9" s="3" t="s">
        <v>186</v>
      </c>
      <c r="B9" s="5">
        <v>10.407356666666667</v>
      </c>
    </row>
    <row r="10" spans="1:2" x14ac:dyDescent="0.25">
      <c r="A10" s="4">
        <v>1</v>
      </c>
      <c r="B10" s="5">
        <v>10.7277</v>
      </c>
    </row>
    <row r="11" spans="1:2" x14ac:dyDescent="0.25">
      <c r="A11" s="4">
        <v>2</v>
      </c>
      <c r="B11" s="5">
        <v>10.7638</v>
      </c>
    </row>
    <row r="12" spans="1:2" x14ac:dyDescent="0.25">
      <c r="A12" s="4">
        <v>4</v>
      </c>
      <c r="B12" s="5">
        <v>9.7305700000000002</v>
      </c>
    </row>
    <row r="13" spans="1:2" x14ac:dyDescent="0.25">
      <c r="A13" s="3" t="s">
        <v>187</v>
      </c>
      <c r="B13" s="5">
        <v>10.407356666666667</v>
      </c>
    </row>
    <row r="14" spans="1:2" x14ac:dyDescent="0.25">
      <c r="A14" s="4">
        <v>1</v>
      </c>
      <c r="B14" s="5">
        <v>10.7277</v>
      </c>
    </row>
    <row r="15" spans="1:2" x14ac:dyDescent="0.25">
      <c r="A15" s="4">
        <v>2</v>
      </c>
      <c r="B15" s="5">
        <v>10.7638</v>
      </c>
    </row>
    <row r="16" spans="1:2" x14ac:dyDescent="0.25">
      <c r="A16" s="4">
        <v>4</v>
      </c>
      <c r="B16" s="5">
        <v>9.7305700000000002</v>
      </c>
    </row>
    <row r="17" spans="1:2" x14ac:dyDescent="0.25">
      <c r="A17" s="3" t="s">
        <v>188</v>
      </c>
      <c r="B17" s="5">
        <v>10.407356666666667</v>
      </c>
    </row>
    <row r="18" spans="1:2" x14ac:dyDescent="0.25">
      <c r="A18" s="4">
        <v>1</v>
      </c>
      <c r="B18" s="5">
        <v>10.7277</v>
      </c>
    </row>
    <row r="19" spans="1:2" x14ac:dyDescent="0.25">
      <c r="A19" s="4">
        <v>2</v>
      </c>
      <c r="B19" s="5">
        <v>10.7638</v>
      </c>
    </row>
    <row r="20" spans="1:2" x14ac:dyDescent="0.25">
      <c r="A20" s="4">
        <v>4</v>
      </c>
      <c r="B20" s="5">
        <v>9.7305700000000002</v>
      </c>
    </row>
    <row r="21" spans="1:2" x14ac:dyDescent="0.25">
      <c r="A21" s="3" t="s">
        <v>189</v>
      </c>
      <c r="B21" s="5">
        <v>10.407356666666667</v>
      </c>
    </row>
    <row r="22" spans="1:2" x14ac:dyDescent="0.25">
      <c r="A22" s="4">
        <v>1</v>
      </c>
      <c r="B22" s="5">
        <v>10.7277</v>
      </c>
    </row>
    <row r="23" spans="1:2" x14ac:dyDescent="0.25">
      <c r="A23" s="4">
        <v>2</v>
      </c>
      <c r="B23" s="5">
        <v>10.7638</v>
      </c>
    </row>
    <row r="24" spans="1:2" x14ac:dyDescent="0.25">
      <c r="A24" s="4">
        <v>4</v>
      </c>
      <c r="B24" s="5">
        <v>9.7305700000000002</v>
      </c>
    </row>
    <row r="25" spans="1:2" x14ac:dyDescent="0.25">
      <c r="A25" s="3" t="s">
        <v>198</v>
      </c>
      <c r="B25" s="5">
        <v>10.407356666666667</v>
      </c>
    </row>
  </sheetData>
  <pageMargins left="0.7" right="0.7" top="0.75" bottom="0.75" header="0.3" footer="0.3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E03D8-F1AB-45C5-9C20-B0673FCCCAF7}">
  <sheetPr codeName="Sheet15"/>
  <dimension ref="A2:B25"/>
  <sheetViews>
    <sheetView topLeftCell="E1" workbookViewId="0">
      <selection activeCell="O37" sqref="O37"/>
    </sheetView>
  </sheetViews>
  <sheetFormatPr defaultRowHeight="15" x14ac:dyDescent="0.25"/>
  <cols>
    <col min="1" max="1" width="13.28515625" bestFit="1" customWidth="1"/>
    <col min="2" max="2" width="26.5703125" bestFit="1" customWidth="1"/>
    <col min="3" max="3" width="23" bestFit="1" customWidth="1"/>
    <col min="4" max="5" width="18" bestFit="1" customWidth="1"/>
    <col min="6" max="6" width="12" bestFit="1" customWidth="1"/>
    <col min="7" max="7" width="9" bestFit="1" customWidth="1"/>
    <col min="8" max="8" width="11.42578125" bestFit="1" customWidth="1"/>
    <col min="9" max="10" width="9" bestFit="1" customWidth="1"/>
    <col min="11" max="11" width="9.7109375" bestFit="1" customWidth="1"/>
    <col min="12" max="12" width="9" bestFit="1" customWidth="1"/>
    <col min="13" max="14" width="12" bestFit="1" customWidth="1"/>
    <col min="15" max="15" width="9" bestFit="1" customWidth="1"/>
    <col min="16" max="16" width="12" bestFit="1" customWidth="1"/>
    <col min="17" max="17" width="13.5703125" bestFit="1" customWidth="1"/>
    <col min="18" max="18" width="13.140625" bestFit="1" customWidth="1"/>
    <col min="19" max="19" width="12" bestFit="1" customWidth="1"/>
  </cols>
  <sheetData>
    <row r="2" spans="1:2" x14ac:dyDescent="0.25">
      <c r="A2" s="2" t="s">
        <v>176</v>
      </c>
      <c r="B2" t="s">
        <v>193</v>
      </c>
    </row>
    <row r="4" spans="1:2" x14ac:dyDescent="0.25">
      <c r="A4" s="2" t="s">
        <v>197</v>
      </c>
      <c r="B4" t="s">
        <v>251</v>
      </c>
    </row>
    <row r="5" spans="1:2" x14ac:dyDescent="0.25">
      <c r="A5" s="3" t="s">
        <v>185</v>
      </c>
      <c r="B5" s="5">
        <v>4.9469440144184249</v>
      </c>
    </row>
    <row r="6" spans="1:2" x14ac:dyDescent="0.25">
      <c r="A6" s="4">
        <v>1</v>
      </c>
      <c r="B6" s="5">
        <v>4.5379184037345617</v>
      </c>
    </row>
    <row r="7" spans="1:2" x14ac:dyDescent="0.25">
      <c r="A7" s="4">
        <v>2</v>
      </c>
      <c r="B7" s="5">
        <v>4.5300902091359632</v>
      </c>
    </row>
    <row r="8" spans="1:2" x14ac:dyDescent="0.25">
      <c r="A8" s="4">
        <v>4</v>
      </c>
      <c r="B8" s="5">
        <v>5.7728234303847517</v>
      </c>
    </row>
    <row r="9" spans="1:2" x14ac:dyDescent="0.25">
      <c r="A9" s="3" t="s">
        <v>186</v>
      </c>
      <c r="B9" s="5">
        <v>7.5072322596578767</v>
      </c>
    </row>
    <row r="10" spans="1:2" x14ac:dyDescent="0.25">
      <c r="A10" s="4">
        <v>1</v>
      </c>
      <c r="B10" s="5">
        <v>6.8626643608114408</v>
      </c>
    </row>
    <row r="11" spans="1:2" x14ac:dyDescent="0.25">
      <c r="A11" s="4">
        <v>2</v>
      </c>
      <c r="B11" s="5">
        <v>6.8510982310464366</v>
      </c>
    </row>
    <row r="12" spans="1:2" x14ac:dyDescent="0.25">
      <c r="A12" s="4">
        <v>4</v>
      </c>
      <c r="B12" s="5">
        <v>8.8079341871157535</v>
      </c>
    </row>
    <row r="13" spans="1:2" x14ac:dyDescent="0.25">
      <c r="A13" s="3" t="s">
        <v>187</v>
      </c>
      <c r="B13" s="5">
        <v>1.2287184385443903</v>
      </c>
    </row>
    <row r="14" spans="1:2" x14ac:dyDescent="0.25">
      <c r="A14" s="4">
        <v>1</v>
      </c>
      <c r="B14" s="5">
        <v>1.1257961638914511</v>
      </c>
    </row>
    <row r="15" spans="1:2" x14ac:dyDescent="0.25">
      <c r="A15" s="4">
        <v>2</v>
      </c>
      <c r="B15" s="5">
        <v>1.1238027083206987</v>
      </c>
    </row>
    <row r="16" spans="1:2" x14ac:dyDescent="0.25">
      <c r="A16" s="4">
        <v>4</v>
      </c>
      <c r="B16" s="5">
        <v>1.4365564434210212</v>
      </c>
    </row>
    <row r="17" spans="1:2" x14ac:dyDescent="0.25">
      <c r="A17" s="3" t="s">
        <v>188</v>
      </c>
      <c r="B17" s="5">
        <v>7.5842635172432766</v>
      </c>
    </row>
    <row r="18" spans="1:2" x14ac:dyDescent="0.25">
      <c r="A18" s="4">
        <v>1</v>
      </c>
      <c r="B18" s="5">
        <v>6.9717551818250136</v>
      </c>
    </row>
    <row r="19" spans="1:2" x14ac:dyDescent="0.25">
      <c r="A19" s="4">
        <v>2</v>
      </c>
      <c r="B19" s="5">
        <v>6.9594344379414945</v>
      </c>
    </row>
    <row r="20" spans="1:2" x14ac:dyDescent="0.25">
      <c r="A20" s="4">
        <v>4</v>
      </c>
      <c r="B20" s="5">
        <v>8.8216009319633226</v>
      </c>
    </row>
    <row r="21" spans="1:2" x14ac:dyDescent="0.25">
      <c r="A21" s="3" t="s">
        <v>189</v>
      </c>
      <c r="B21" s="5">
        <v>6.847222073364752</v>
      </c>
    </row>
    <row r="22" spans="1:2" x14ac:dyDescent="0.25">
      <c r="A22" s="4">
        <v>1</v>
      </c>
      <c r="B22" s="5">
        <v>6.2883041435390439</v>
      </c>
    </row>
    <row r="23" spans="1:2" x14ac:dyDescent="0.25">
      <c r="A23" s="4">
        <v>2</v>
      </c>
      <c r="B23" s="5">
        <v>6.2779213297732239</v>
      </c>
    </row>
    <row r="24" spans="1:2" x14ac:dyDescent="0.25">
      <c r="A24" s="4">
        <v>4</v>
      </c>
      <c r="B24" s="5">
        <v>7.975440746781989</v>
      </c>
    </row>
    <row r="25" spans="1:2" x14ac:dyDescent="0.25">
      <c r="A25" s="3" t="s">
        <v>198</v>
      </c>
      <c r="B25" s="5">
        <v>5.6228760606457433</v>
      </c>
    </row>
  </sheetData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91343-F481-4B5C-AE5B-98AD1C47B876}">
  <sheetPr codeName="Sheet16"/>
  <dimension ref="A2:C25"/>
  <sheetViews>
    <sheetView workbookViewId="0">
      <selection activeCell="J29" sqref="J29"/>
    </sheetView>
  </sheetViews>
  <sheetFormatPr defaultRowHeight="15" x14ac:dyDescent="0.25"/>
  <cols>
    <col min="1" max="1" width="13.28515625" bestFit="1" customWidth="1"/>
    <col min="2" max="2" width="18.140625" bestFit="1" customWidth="1"/>
    <col min="3" max="4" width="12" bestFit="1" customWidth="1"/>
    <col min="5" max="5" width="9" bestFit="1" customWidth="1"/>
    <col min="6" max="6" width="12" bestFit="1" customWidth="1"/>
    <col min="7" max="7" width="9" bestFit="1" customWidth="1"/>
    <col min="8" max="8" width="11.42578125" bestFit="1" customWidth="1"/>
    <col min="9" max="10" width="9" bestFit="1" customWidth="1"/>
    <col min="11" max="11" width="9.7109375" bestFit="1" customWidth="1"/>
    <col min="12" max="12" width="9" bestFit="1" customWidth="1"/>
    <col min="13" max="14" width="12" bestFit="1" customWidth="1"/>
    <col min="15" max="15" width="9" bestFit="1" customWidth="1"/>
    <col min="16" max="16" width="12" bestFit="1" customWidth="1"/>
    <col min="17" max="17" width="13.5703125" bestFit="1" customWidth="1"/>
    <col min="18" max="18" width="13.140625" bestFit="1" customWidth="1"/>
    <col min="19" max="19" width="12" bestFit="1" customWidth="1"/>
  </cols>
  <sheetData>
    <row r="2" spans="1:3" x14ac:dyDescent="0.25">
      <c r="A2" s="2" t="s">
        <v>176</v>
      </c>
      <c r="B2" t="s">
        <v>194</v>
      </c>
    </row>
    <row r="4" spans="1:3" x14ac:dyDescent="0.25">
      <c r="A4" s="2" t="s">
        <v>197</v>
      </c>
      <c r="B4" t="s">
        <v>246</v>
      </c>
      <c r="C4" t="s">
        <v>249</v>
      </c>
    </row>
    <row r="5" spans="1:3" x14ac:dyDescent="0.25">
      <c r="A5" s="3" t="s">
        <v>185</v>
      </c>
      <c r="B5" s="5">
        <v>1.2753206666666665</v>
      </c>
      <c r="C5" s="5">
        <v>3.7820866666666668</v>
      </c>
    </row>
    <row r="6" spans="1:3" x14ac:dyDescent="0.25">
      <c r="A6" s="4">
        <v>1</v>
      </c>
      <c r="B6" s="5">
        <v>1.2751189999999999</v>
      </c>
      <c r="C6" s="5">
        <v>3.7819699999999998</v>
      </c>
    </row>
    <row r="7" spans="1:3" x14ac:dyDescent="0.25">
      <c r="A7" s="4">
        <v>2</v>
      </c>
      <c r="B7" s="5">
        <v>1.275447</v>
      </c>
      <c r="C7" s="5">
        <v>3.7820100000000001</v>
      </c>
    </row>
    <row r="8" spans="1:3" x14ac:dyDescent="0.25">
      <c r="A8" s="4">
        <v>4</v>
      </c>
      <c r="B8" s="5">
        <v>1.275396</v>
      </c>
      <c r="C8" s="5">
        <v>3.7822800000000001</v>
      </c>
    </row>
    <row r="9" spans="1:3" x14ac:dyDescent="0.25">
      <c r="A9" s="3" t="s">
        <v>186</v>
      </c>
      <c r="B9" s="5">
        <v>1.2348843333333333</v>
      </c>
      <c r="C9" s="5">
        <v>3.7820866666666668</v>
      </c>
    </row>
    <row r="10" spans="1:3" x14ac:dyDescent="0.25">
      <c r="A10" s="4">
        <v>1</v>
      </c>
      <c r="B10" s="5">
        <v>1.2348749999999999</v>
      </c>
      <c r="C10" s="5">
        <v>3.7819699999999998</v>
      </c>
    </row>
    <row r="11" spans="1:3" x14ac:dyDescent="0.25">
      <c r="A11" s="4">
        <v>2</v>
      </c>
      <c r="B11" s="5">
        <v>1.234885</v>
      </c>
      <c r="C11" s="5">
        <v>3.7820100000000001</v>
      </c>
    </row>
    <row r="12" spans="1:3" x14ac:dyDescent="0.25">
      <c r="A12" s="4">
        <v>4</v>
      </c>
      <c r="B12" s="5">
        <v>1.234893</v>
      </c>
      <c r="C12" s="5">
        <v>3.7822800000000001</v>
      </c>
    </row>
    <row r="13" spans="1:3" x14ac:dyDescent="0.25">
      <c r="A13" s="3" t="s">
        <v>187</v>
      </c>
      <c r="B13" s="5">
        <v>1.2613416666666666</v>
      </c>
      <c r="C13" s="5">
        <v>3.7820866666666668</v>
      </c>
    </row>
    <row r="14" spans="1:3" x14ac:dyDescent="0.25">
      <c r="A14" s="4">
        <v>1</v>
      </c>
      <c r="B14" s="5">
        <v>1.261307</v>
      </c>
      <c r="C14" s="5">
        <v>3.7819699999999998</v>
      </c>
    </row>
    <row r="15" spans="1:3" x14ac:dyDescent="0.25">
      <c r="A15" s="4">
        <v>2</v>
      </c>
      <c r="B15" s="5">
        <v>1.2613319999999999</v>
      </c>
      <c r="C15" s="5">
        <v>3.7820100000000001</v>
      </c>
    </row>
    <row r="16" spans="1:3" x14ac:dyDescent="0.25">
      <c r="A16" s="4">
        <v>4</v>
      </c>
      <c r="B16" s="5">
        <v>1.2613859999999999</v>
      </c>
      <c r="C16" s="5">
        <v>3.7822800000000001</v>
      </c>
    </row>
    <row r="17" spans="1:3" x14ac:dyDescent="0.25">
      <c r="A17" s="3" t="s">
        <v>188</v>
      </c>
      <c r="B17" s="5">
        <v>1.3012643333333334</v>
      </c>
      <c r="C17" s="5">
        <v>3.7820866666666668</v>
      </c>
    </row>
    <row r="18" spans="1:3" x14ac:dyDescent="0.25">
      <c r="A18" s="4">
        <v>1</v>
      </c>
      <c r="B18" s="5">
        <v>1.3011809999999999</v>
      </c>
      <c r="C18" s="5">
        <v>3.7819699999999998</v>
      </c>
    </row>
    <row r="19" spans="1:3" x14ac:dyDescent="0.25">
      <c r="A19" s="4">
        <v>2</v>
      </c>
      <c r="B19" s="5">
        <v>1.301301</v>
      </c>
      <c r="C19" s="5">
        <v>3.7820100000000001</v>
      </c>
    </row>
    <row r="20" spans="1:3" x14ac:dyDescent="0.25">
      <c r="A20" s="4">
        <v>4</v>
      </c>
      <c r="B20" s="5">
        <v>1.3013110000000001</v>
      </c>
      <c r="C20" s="5">
        <v>3.7822800000000001</v>
      </c>
    </row>
    <row r="21" spans="1:3" x14ac:dyDescent="0.25">
      <c r="A21" s="3" t="s">
        <v>189</v>
      </c>
      <c r="B21" s="5">
        <v>1.2903806666666666</v>
      </c>
      <c r="C21" s="5">
        <v>3.7820866666666668</v>
      </c>
    </row>
    <row r="22" spans="1:3" x14ac:dyDescent="0.25">
      <c r="A22" s="4">
        <v>1</v>
      </c>
      <c r="B22" s="5">
        <v>1.290354</v>
      </c>
      <c r="C22" s="5">
        <v>3.7819699999999998</v>
      </c>
    </row>
    <row r="23" spans="1:3" x14ac:dyDescent="0.25">
      <c r="A23" s="4">
        <v>2</v>
      </c>
      <c r="B23" s="5">
        <v>1.2903819999999999</v>
      </c>
      <c r="C23" s="5">
        <v>3.7820100000000001</v>
      </c>
    </row>
    <row r="24" spans="1:3" x14ac:dyDescent="0.25">
      <c r="A24" s="4">
        <v>4</v>
      </c>
      <c r="B24" s="5">
        <v>1.2904059999999999</v>
      </c>
      <c r="C24" s="5">
        <v>3.7822800000000001</v>
      </c>
    </row>
    <row r="25" spans="1:3" x14ac:dyDescent="0.25">
      <c r="A25" s="3" t="s">
        <v>198</v>
      </c>
      <c r="B25" s="5">
        <v>1.2726383333333333</v>
      </c>
      <c r="C25" s="5">
        <v>3.7820866666666668</v>
      </c>
    </row>
  </sheetData>
  <pageMargins left="0.7" right="0.7" top="0.75" bottom="0.75" header="0.3" footer="0.3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3AF2D-D0E5-48EE-B5D3-AEE1E13667E3}">
  <sheetPr codeName="Sheet17"/>
  <dimension ref="A2:B25"/>
  <sheetViews>
    <sheetView workbookViewId="0">
      <selection activeCell="J34" sqref="J34"/>
    </sheetView>
  </sheetViews>
  <sheetFormatPr defaultRowHeight="15" x14ac:dyDescent="0.25"/>
  <cols>
    <col min="1" max="1" width="13.28515625" bestFit="1" customWidth="1"/>
    <col min="2" max="2" width="21.5703125" bestFit="1" customWidth="1"/>
    <col min="3" max="5" width="18" bestFit="1" customWidth="1"/>
    <col min="6" max="6" width="12" bestFit="1" customWidth="1"/>
    <col min="7" max="7" width="9" bestFit="1" customWidth="1"/>
    <col min="8" max="8" width="11.42578125" bestFit="1" customWidth="1"/>
    <col min="9" max="10" width="9" bestFit="1" customWidth="1"/>
    <col min="11" max="11" width="9.7109375" bestFit="1" customWidth="1"/>
    <col min="12" max="12" width="9" bestFit="1" customWidth="1"/>
    <col min="13" max="14" width="12" bestFit="1" customWidth="1"/>
    <col min="15" max="15" width="9" bestFit="1" customWidth="1"/>
    <col min="16" max="16" width="12" bestFit="1" customWidth="1"/>
    <col min="17" max="17" width="13.5703125" bestFit="1" customWidth="1"/>
    <col min="18" max="18" width="13.140625" bestFit="1" customWidth="1"/>
    <col min="19" max="19" width="12" bestFit="1" customWidth="1"/>
  </cols>
  <sheetData>
    <row r="2" spans="1:2" x14ac:dyDescent="0.25">
      <c r="A2" s="2" t="s">
        <v>176</v>
      </c>
      <c r="B2" t="s">
        <v>194</v>
      </c>
    </row>
    <row r="4" spans="1:2" x14ac:dyDescent="0.25">
      <c r="A4" s="2" t="s">
        <v>197</v>
      </c>
      <c r="B4" t="s">
        <v>250</v>
      </c>
    </row>
    <row r="5" spans="1:2" x14ac:dyDescent="0.25">
      <c r="A5" s="3" t="s">
        <v>185</v>
      </c>
      <c r="B5" s="5">
        <v>10.727566666666666</v>
      </c>
    </row>
    <row r="6" spans="1:2" x14ac:dyDescent="0.25">
      <c r="A6" s="4">
        <v>1</v>
      </c>
      <c r="B6" s="5">
        <v>10.7286</v>
      </c>
    </row>
    <row r="7" spans="1:2" x14ac:dyDescent="0.25">
      <c r="A7" s="4">
        <v>2</v>
      </c>
      <c r="B7" s="5">
        <v>10.7277</v>
      </c>
    </row>
    <row r="8" spans="1:2" x14ac:dyDescent="0.25">
      <c r="A8" s="4">
        <v>4</v>
      </c>
      <c r="B8" s="5">
        <v>10.7264</v>
      </c>
    </row>
    <row r="9" spans="1:2" x14ac:dyDescent="0.25">
      <c r="A9" s="3" t="s">
        <v>186</v>
      </c>
      <c r="B9" s="5">
        <v>10.727566666666666</v>
      </c>
    </row>
    <row r="10" spans="1:2" x14ac:dyDescent="0.25">
      <c r="A10" s="4">
        <v>1</v>
      </c>
      <c r="B10" s="5">
        <v>10.7286</v>
      </c>
    </row>
    <row r="11" spans="1:2" x14ac:dyDescent="0.25">
      <c r="A11" s="4">
        <v>2</v>
      </c>
      <c r="B11" s="5">
        <v>10.7277</v>
      </c>
    </row>
    <row r="12" spans="1:2" x14ac:dyDescent="0.25">
      <c r="A12" s="4">
        <v>4</v>
      </c>
      <c r="B12" s="5">
        <v>10.7264</v>
      </c>
    </row>
    <row r="13" spans="1:2" x14ac:dyDescent="0.25">
      <c r="A13" s="3" t="s">
        <v>187</v>
      </c>
      <c r="B13" s="5">
        <v>10.727566666666666</v>
      </c>
    </row>
    <row r="14" spans="1:2" x14ac:dyDescent="0.25">
      <c r="A14" s="4">
        <v>1</v>
      </c>
      <c r="B14" s="5">
        <v>10.7286</v>
      </c>
    </row>
    <row r="15" spans="1:2" x14ac:dyDescent="0.25">
      <c r="A15" s="4">
        <v>2</v>
      </c>
      <c r="B15" s="5">
        <v>10.7277</v>
      </c>
    </row>
    <row r="16" spans="1:2" x14ac:dyDescent="0.25">
      <c r="A16" s="4">
        <v>4</v>
      </c>
      <c r="B16" s="5">
        <v>10.7264</v>
      </c>
    </row>
    <row r="17" spans="1:2" x14ac:dyDescent="0.25">
      <c r="A17" s="3" t="s">
        <v>188</v>
      </c>
      <c r="B17" s="5">
        <v>10.727566666666666</v>
      </c>
    </row>
    <row r="18" spans="1:2" x14ac:dyDescent="0.25">
      <c r="A18" s="4">
        <v>1</v>
      </c>
      <c r="B18" s="5">
        <v>10.7286</v>
      </c>
    </row>
    <row r="19" spans="1:2" x14ac:dyDescent="0.25">
      <c r="A19" s="4">
        <v>2</v>
      </c>
      <c r="B19" s="5">
        <v>10.7277</v>
      </c>
    </row>
    <row r="20" spans="1:2" x14ac:dyDescent="0.25">
      <c r="A20" s="4">
        <v>4</v>
      </c>
      <c r="B20" s="5">
        <v>10.7264</v>
      </c>
    </row>
    <row r="21" spans="1:2" x14ac:dyDescent="0.25">
      <c r="A21" s="3" t="s">
        <v>189</v>
      </c>
      <c r="B21" s="5">
        <v>10.727566666666666</v>
      </c>
    </row>
    <row r="22" spans="1:2" x14ac:dyDescent="0.25">
      <c r="A22" s="4">
        <v>1</v>
      </c>
      <c r="B22" s="5">
        <v>10.7286</v>
      </c>
    </row>
    <row r="23" spans="1:2" x14ac:dyDescent="0.25">
      <c r="A23" s="4">
        <v>2</v>
      </c>
      <c r="B23" s="5">
        <v>10.7277</v>
      </c>
    </row>
    <row r="24" spans="1:2" x14ac:dyDescent="0.25">
      <c r="A24" s="4">
        <v>4</v>
      </c>
      <c r="B24" s="5">
        <v>10.7264</v>
      </c>
    </row>
    <row r="25" spans="1:2" x14ac:dyDescent="0.25">
      <c r="A25" s="3" t="s">
        <v>198</v>
      </c>
      <c r="B25" s="5">
        <v>10.727566666666666</v>
      </c>
    </row>
  </sheetData>
  <pageMargins left="0.7" right="0.7" top="0.75" bottom="0.75" header="0.3" footer="0.3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6DD62-1D3C-4987-9A7E-F51923A7A178}">
  <sheetPr codeName="Sheet18"/>
  <dimension ref="A2:B25"/>
  <sheetViews>
    <sheetView topLeftCell="E1" workbookViewId="0">
      <selection activeCell="R28" sqref="R28"/>
    </sheetView>
  </sheetViews>
  <sheetFormatPr defaultRowHeight="15" x14ac:dyDescent="0.25"/>
  <cols>
    <col min="1" max="1" width="13.28515625" bestFit="1" customWidth="1"/>
    <col min="2" max="2" width="26.5703125" bestFit="1" customWidth="1"/>
    <col min="3" max="3" width="23" bestFit="1" customWidth="1"/>
    <col min="4" max="5" width="18" bestFit="1" customWidth="1"/>
    <col min="6" max="6" width="12" bestFit="1" customWidth="1"/>
    <col min="7" max="7" width="9" bestFit="1" customWidth="1"/>
    <col min="8" max="8" width="11.42578125" bestFit="1" customWidth="1"/>
    <col min="9" max="10" width="9" bestFit="1" customWidth="1"/>
    <col min="11" max="11" width="9.7109375" bestFit="1" customWidth="1"/>
    <col min="12" max="12" width="9" bestFit="1" customWidth="1"/>
    <col min="13" max="14" width="12" bestFit="1" customWidth="1"/>
    <col min="15" max="15" width="9" bestFit="1" customWidth="1"/>
    <col min="16" max="16" width="12" bestFit="1" customWidth="1"/>
    <col min="17" max="17" width="13.5703125" bestFit="1" customWidth="1"/>
    <col min="18" max="18" width="13.140625" bestFit="1" customWidth="1"/>
    <col min="19" max="19" width="12" bestFit="1" customWidth="1"/>
  </cols>
  <sheetData>
    <row r="2" spans="1:2" x14ac:dyDescent="0.25">
      <c r="A2" s="2" t="s">
        <v>176</v>
      </c>
      <c r="B2" t="s">
        <v>194</v>
      </c>
    </row>
    <row r="4" spans="1:2" x14ac:dyDescent="0.25">
      <c r="A4" s="2" t="s">
        <v>197</v>
      </c>
      <c r="B4" t="s">
        <v>251</v>
      </c>
    </row>
    <row r="5" spans="1:2" x14ac:dyDescent="0.25">
      <c r="A5" s="3" t="s">
        <v>185</v>
      </c>
      <c r="B5" s="5">
        <v>4.5247787316512253</v>
      </c>
    </row>
    <row r="6" spans="1:2" x14ac:dyDescent="0.25">
      <c r="A6" s="4">
        <v>1</v>
      </c>
      <c r="B6" s="5">
        <v>4.4941378039542128</v>
      </c>
    </row>
    <row r="7" spans="1:2" x14ac:dyDescent="0.25">
      <c r="A7" s="4">
        <v>2</v>
      </c>
      <c r="B7" s="5">
        <v>4.5379184037345617</v>
      </c>
    </row>
    <row r="8" spans="1:2" x14ac:dyDescent="0.25">
      <c r="A8" s="4">
        <v>4</v>
      </c>
      <c r="B8" s="5">
        <v>4.5422799872649007</v>
      </c>
    </row>
    <row r="9" spans="1:2" x14ac:dyDescent="0.25">
      <c r="A9" s="3" t="s">
        <v>186</v>
      </c>
      <c r="B9" s="5">
        <v>6.862632963800956</v>
      </c>
    </row>
    <row r="10" spans="1:2" x14ac:dyDescent="0.25">
      <c r="A10" s="4">
        <v>1</v>
      </c>
      <c r="B10" s="5">
        <v>6.8626643608114408</v>
      </c>
    </row>
    <row r="11" spans="1:2" x14ac:dyDescent="0.25">
      <c r="A11" s="4">
        <v>2</v>
      </c>
      <c r="B11" s="5">
        <v>6.8626643608114408</v>
      </c>
    </row>
    <row r="12" spans="1:2" x14ac:dyDescent="0.25">
      <c r="A12" s="4">
        <v>4</v>
      </c>
      <c r="B12" s="5">
        <v>6.8625701697799864</v>
      </c>
    </row>
    <row r="13" spans="1:2" x14ac:dyDescent="0.25">
      <c r="A13" s="3" t="s">
        <v>187</v>
      </c>
      <c r="B13" s="5">
        <v>1.1257758135590754</v>
      </c>
    </row>
    <row r="14" spans="1:2" x14ac:dyDescent="0.25">
      <c r="A14" s="4">
        <v>1</v>
      </c>
      <c r="B14" s="5">
        <v>1.125804089105759</v>
      </c>
    </row>
    <row r="15" spans="1:2" x14ac:dyDescent="0.25">
      <c r="A15" s="4">
        <v>2</v>
      </c>
      <c r="B15" s="5">
        <v>1.1257961638914511</v>
      </c>
    </row>
    <row r="16" spans="1:2" x14ac:dyDescent="0.25">
      <c r="A16" s="4">
        <v>4</v>
      </c>
      <c r="B16" s="5">
        <v>1.1257271876800166</v>
      </c>
    </row>
    <row r="17" spans="1:2" x14ac:dyDescent="0.25">
      <c r="A17" s="3" t="s">
        <v>188</v>
      </c>
      <c r="B17" s="5">
        <v>6.969425003904985</v>
      </c>
    </row>
    <row r="18" spans="1:2" x14ac:dyDescent="0.25">
      <c r="A18" s="4">
        <v>1</v>
      </c>
      <c r="B18" s="5">
        <v>6.9637428134348252</v>
      </c>
    </row>
    <row r="19" spans="1:2" x14ac:dyDescent="0.25">
      <c r="A19" s="4">
        <v>2</v>
      </c>
      <c r="B19" s="5">
        <v>6.9717551818250136</v>
      </c>
    </row>
    <row r="20" spans="1:2" x14ac:dyDescent="0.25">
      <c r="A20" s="4">
        <v>4</v>
      </c>
      <c r="B20" s="5">
        <v>6.9727770164551188</v>
      </c>
    </row>
    <row r="21" spans="1:2" x14ac:dyDescent="0.25">
      <c r="A21" s="3" t="s">
        <v>189</v>
      </c>
      <c r="B21" s="5">
        <v>6.2879195831710817</v>
      </c>
    </row>
    <row r="22" spans="1:2" x14ac:dyDescent="0.25">
      <c r="A22" s="4">
        <v>1</v>
      </c>
      <c r="B22" s="5">
        <v>6.2868081615947089</v>
      </c>
    </row>
    <row r="23" spans="1:2" x14ac:dyDescent="0.25">
      <c r="A23" s="4">
        <v>2</v>
      </c>
      <c r="B23" s="5">
        <v>6.2883041435390439</v>
      </c>
    </row>
    <row r="24" spans="1:2" x14ac:dyDescent="0.25">
      <c r="A24" s="4">
        <v>4</v>
      </c>
      <c r="B24" s="5">
        <v>6.2886464443794914</v>
      </c>
    </row>
    <row r="25" spans="1:2" x14ac:dyDescent="0.25">
      <c r="A25" s="3" t="s">
        <v>198</v>
      </c>
      <c r="B25" s="5">
        <v>5.1541064192174657</v>
      </c>
    </row>
  </sheetData>
  <pageMargins left="0.7" right="0.7" top="0.75" bottom="0.75" header="0.3" footer="0.3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5BB3A-B2B3-4232-A472-24899B152D87}">
  <sheetPr codeName="Sheet19"/>
  <dimension ref="A2:C35"/>
  <sheetViews>
    <sheetView workbookViewId="0">
      <selection activeCell="L31" sqref="L31"/>
    </sheetView>
  </sheetViews>
  <sheetFormatPr defaultRowHeight="15" x14ac:dyDescent="0.25"/>
  <cols>
    <col min="1" max="1" width="13.28515625" bestFit="1" customWidth="1"/>
    <col min="2" max="2" width="11" bestFit="1" customWidth="1"/>
    <col min="3" max="3" width="9" bestFit="1" customWidth="1"/>
    <col min="4" max="4" width="12" bestFit="1" customWidth="1"/>
    <col min="5" max="5" width="9" bestFit="1" customWidth="1"/>
    <col min="6" max="6" width="12" bestFit="1" customWidth="1"/>
    <col min="7" max="7" width="9" bestFit="1" customWidth="1"/>
    <col min="8" max="8" width="11.42578125" bestFit="1" customWidth="1"/>
    <col min="9" max="10" width="9" bestFit="1" customWidth="1"/>
    <col min="11" max="11" width="9.7109375" bestFit="1" customWidth="1"/>
    <col min="12" max="12" width="9" bestFit="1" customWidth="1"/>
    <col min="13" max="14" width="12" bestFit="1" customWidth="1"/>
    <col min="15" max="15" width="9" bestFit="1" customWidth="1"/>
    <col min="16" max="16" width="12" bestFit="1" customWidth="1"/>
    <col min="17" max="17" width="13.5703125" bestFit="1" customWidth="1"/>
    <col min="18" max="18" width="13.140625" bestFit="1" customWidth="1"/>
    <col min="19" max="19" width="12" bestFit="1" customWidth="1"/>
  </cols>
  <sheetData>
    <row r="2" spans="1:3" x14ac:dyDescent="0.25">
      <c r="A2" s="2" t="s">
        <v>176</v>
      </c>
      <c r="B2" t="s">
        <v>184</v>
      </c>
    </row>
    <row r="4" spans="1:3" x14ac:dyDescent="0.25">
      <c r="A4" s="2" t="s">
        <v>197</v>
      </c>
      <c r="B4" t="s">
        <v>246</v>
      </c>
      <c r="C4" t="s">
        <v>249</v>
      </c>
    </row>
    <row r="5" spans="1:3" x14ac:dyDescent="0.25">
      <c r="A5" s="3" t="s">
        <v>185</v>
      </c>
      <c r="B5" s="5">
        <v>1.2839094</v>
      </c>
      <c r="C5" s="5">
        <v>3.8844720000000001</v>
      </c>
    </row>
    <row r="6" spans="1:3" x14ac:dyDescent="0.25">
      <c r="A6" s="4">
        <v>256</v>
      </c>
      <c r="B6" s="5">
        <v>1.2724179999999998</v>
      </c>
      <c r="C6" s="5">
        <v>3.7515200000000002</v>
      </c>
    </row>
    <row r="7" spans="1:3" x14ac:dyDescent="0.25">
      <c r="A7" s="4">
        <v>512</v>
      </c>
      <c r="B7" s="5">
        <v>1.275447</v>
      </c>
      <c r="C7" s="5">
        <v>3.7820100000000001</v>
      </c>
    </row>
    <row r="8" spans="1:3" x14ac:dyDescent="0.25">
      <c r="A8" s="4">
        <v>1024</v>
      </c>
      <c r="B8" s="5">
        <v>1.281031</v>
      </c>
      <c r="C8" s="5">
        <v>3.8508</v>
      </c>
    </row>
    <row r="9" spans="1:3" x14ac:dyDescent="0.25">
      <c r="A9" s="4">
        <v>2048</v>
      </c>
      <c r="B9" s="5">
        <v>1.2893019999999999</v>
      </c>
      <c r="C9" s="5">
        <v>3.9575200000000001</v>
      </c>
    </row>
    <row r="10" spans="1:3" x14ac:dyDescent="0.25">
      <c r="A10" s="4">
        <v>4096</v>
      </c>
      <c r="B10" s="5">
        <v>1.3013490000000001</v>
      </c>
      <c r="C10" s="5">
        <v>4.0805100000000003</v>
      </c>
    </row>
    <row r="11" spans="1:3" x14ac:dyDescent="0.25">
      <c r="A11" s="3" t="s">
        <v>186</v>
      </c>
      <c r="B11" s="5">
        <v>1.2386889999999999</v>
      </c>
      <c r="C11" s="5">
        <v>3.8844720000000001</v>
      </c>
    </row>
    <row r="12" spans="1:3" x14ac:dyDescent="0.25">
      <c r="A12" s="4">
        <v>256</v>
      </c>
      <c r="B12" s="5">
        <v>1.233922</v>
      </c>
      <c r="C12" s="5">
        <v>3.7515200000000002</v>
      </c>
    </row>
    <row r="13" spans="1:3" x14ac:dyDescent="0.25">
      <c r="A13" s="4">
        <v>512</v>
      </c>
      <c r="B13" s="5">
        <v>1.234885</v>
      </c>
      <c r="C13" s="5">
        <v>3.7820100000000001</v>
      </c>
    </row>
    <row r="14" spans="1:3" x14ac:dyDescent="0.25">
      <c r="A14" s="4">
        <v>1024</v>
      </c>
      <c r="B14" s="5">
        <v>1.2372319999999999</v>
      </c>
      <c r="C14" s="5">
        <v>3.8508</v>
      </c>
    </row>
    <row r="15" spans="1:3" x14ac:dyDescent="0.25">
      <c r="A15" s="4">
        <v>2048</v>
      </c>
      <c r="B15" s="5">
        <v>1.2406280000000001</v>
      </c>
      <c r="C15" s="5">
        <v>3.9575200000000001</v>
      </c>
    </row>
    <row r="16" spans="1:3" x14ac:dyDescent="0.25">
      <c r="A16" s="4">
        <v>4096</v>
      </c>
      <c r="B16" s="5">
        <v>1.2467780000000002</v>
      </c>
      <c r="C16" s="5">
        <v>4.0805100000000003</v>
      </c>
    </row>
    <row r="17" spans="1:3" x14ac:dyDescent="0.25">
      <c r="A17" s="3" t="s">
        <v>187</v>
      </c>
      <c r="B17" s="5">
        <v>1.2678684</v>
      </c>
      <c r="C17" s="5">
        <v>3.8844720000000001</v>
      </c>
    </row>
    <row r="18" spans="1:3" x14ac:dyDescent="0.25">
      <c r="A18" s="4">
        <v>256</v>
      </c>
      <c r="B18" s="5">
        <v>1.2596289999999999</v>
      </c>
      <c r="C18" s="5">
        <v>3.7515200000000002</v>
      </c>
    </row>
    <row r="19" spans="1:3" x14ac:dyDescent="0.25">
      <c r="A19" s="4">
        <v>512</v>
      </c>
      <c r="B19" s="5">
        <v>1.2613319999999999</v>
      </c>
      <c r="C19" s="5">
        <v>3.7820100000000001</v>
      </c>
    </row>
    <row r="20" spans="1:3" x14ac:dyDescent="0.25">
      <c r="A20" s="4">
        <v>1024</v>
      </c>
      <c r="B20" s="5">
        <v>1.265568</v>
      </c>
      <c r="C20" s="5">
        <v>3.8508</v>
      </c>
    </row>
    <row r="21" spans="1:3" x14ac:dyDescent="0.25">
      <c r="A21" s="4">
        <v>2048</v>
      </c>
      <c r="B21" s="5">
        <v>1.2718769999999999</v>
      </c>
      <c r="C21" s="5">
        <v>3.9575200000000001</v>
      </c>
    </row>
    <row r="22" spans="1:3" x14ac:dyDescent="0.25">
      <c r="A22" s="4">
        <v>4096</v>
      </c>
      <c r="B22" s="5">
        <v>1.2809360000000001</v>
      </c>
      <c r="C22" s="5">
        <v>4.0805100000000003</v>
      </c>
    </row>
    <row r="23" spans="1:3" x14ac:dyDescent="0.25">
      <c r="A23" s="3" t="s">
        <v>188</v>
      </c>
      <c r="B23" s="5">
        <v>1.3042719999999999</v>
      </c>
      <c r="C23" s="5">
        <v>3.8844720000000001</v>
      </c>
    </row>
    <row r="24" spans="1:3" x14ac:dyDescent="0.25">
      <c r="A24" s="4">
        <v>256</v>
      </c>
      <c r="B24" s="5">
        <v>1.300522</v>
      </c>
      <c r="C24" s="5">
        <v>3.7515200000000002</v>
      </c>
    </row>
    <row r="25" spans="1:3" x14ac:dyDescent="0.25">
      <c r="A25" s="4">
        <v>512</v>
      </c>
      <c r="B25" s="5">
        <v>1.301301</v>
      </c>
      <c r="C25" s="5">
        <v>3.7820100000000001</v>
      </c>
    </row>
    <row r="26" spans="1:3" x14ac:dyDescent="0.25">
      <c r="A26" s="4">
        <v>1024</v>
      </c>
      <c r="B26" s="5">
        <v>1.303132</v>
      </c>
      <c r="C26" s="5">
        <v>3.8508</v>
      </c>
    </row>
    <row r="27" spans="1:3" x14ac:dyDescent="0.25">
      <c r="A27" s="4">
        <v>2048</v>
      </c>
      <c r="B27" s="5">
        <v>1.305647</v>
      </c>
      <c r="C27" s="5">
        <v>3.9575200000000001</v>
      </c>
    </row>
    <row r="28" spans="1:3" x14ac:dyDescent="0.25">
      <c r="A28" s="4">
        <v>4096</v>
      </c>
      <c r="B28" s="5">
        <v>1.3107580000000001</v>
      </c>
      <c r="C28" s="5">
        <v>4.0805100000000003</v>
      </c>
    </row>
    <row r="29" spans="1:3" x14ac:dyDescent="0.25">
      <c r="A29" s="3" t="s">
        <v>189</v>
      </c>
      <c r="B29" s="5">
        <v>1.2948814</v>
      </c>
      <c r="C29" s="5">
        <v>3.8844720000000001</v>
      </c>
    </row>
    <row r="30" spans="1:3" x14ac:dyDescent="0.25">
      <c r="A30" s="4">
        <v>256</v>
      </c>
      <c r="B30" s="5">
        <v>1.289064</v>
      </c>
      <c r="C30" s="5">
        <v>3.7515200000000002</v>
      </c>
    </row>
    <row r="31" spans="1:3" x14ac:dyDescent="0.25">
      <c r="A31" s="4">
        <v>512</v>
      </c>
      <c r="B31" s="5">
        <v>1.2903819999999999</v>
      </c>
      <c r="C31" s="5">
        <v>3.7820100000000001</v>
      </c>
    </row>
    <row r="32" spans="1:3" x14ac:dyDescent="0.25">
      <c r="A32" s="4">
        <v>1024</v>
      </c>
      <c r="B32" s="5">
        <v>1.2932379999999999</v>
      </c>
      <c r="C32" s="5">
        <v>3.8508</v>
      </c>
    </row>
    <row r="33" spans="1:3" x14ac:dyDescent="0.25">
      <c r="A33" s="4">
        <v>2048</v>
      </c>
      <c r="B33" s="5">
        <v>1.2973680000000001</v>
      </c>
      <c r="C33" s="5">
        <v>3.9575200000000001</v>
      </c>
    </row>
    <row r="34" spans="1:3" x14ac:dyDescent="0.25">
      <c r="A34" s="4">
        <v>4096</v>
      </c>
      <c r="B34" s="5">
        <v>1.3043550000000002</v>
      </c>
      <c r="C34" s="5">
        <v>4.0805100000000003</v>
      </c>
    </row>
    <row r="35" spans="1:3" x14ac:dyDescent="0.25">
      <c r="A35" s="3" t="s">
        <v>198</v>
      </c>
      <c r="B35" s="5">
        <v>1.27792404</v>
      </c>
      <c r="C35" s="5">
        <v>3.8844720000000006</v>
      </c>
    </row>
  </sheetData>
  <pageMargins left="0.7" right="0.7" top="0.75" bottom="0.75" header="0.3" footer="0.3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7339D-D11D-4F1C-8251-995A35428708}">
  <sheetPr codeName="Sheet20"/>
  <dimension ref="A2:B35"/>
  <sheetViews>
    <sheetView workbookViewId="0">
      <selection activeCell="M25" sqref="M25"/>
    </sheetView>
  </sheetViews>
  <sheetFormatPr defaultRowHeight="15" x14ac:dyDescent="0.25"/>
  <cols>
    <col min="1" max="1" width="13.28515625" bestFit="1" customWidth="1"/>
    <col min="2" max="2" width="21.5703125" bestFit="1" customWidth="1"/>
    <col min="3" max="5" width="18" bestFit="1" customWidth="1"/>
    <col min="6" max="6" width="12" bestFit="1" customWidth="1"/>
    <col min="7" max="7" width="9" bestFit="1" customWidth="1"/>
    <col min="8" max="8" width="11.42578125" bestFit="1" customWidth="1"/>
    <col min="9" max="10" width="9" bestFit="1" customWidth="1"/>
    <col min="11" max="11" width="9.7109375" bestFit="1" customWidth="1"/>
    <col min="12" max="12" width="9" bestFit="1" customWidth="1"/>
    <col min="13" max="14" width="12" bestFit="1" customWidth="1"/>
    <col min="15" max="15" width="9" bestFit="1" customWidth="1"/>
    <col min="16" max="16" width="12" bestFit="1" customWidth="1"/>
    <col min="17" max="17" width="13.5703125" bestFit="1" customWidth="1"/>
    <col min="18" max="18" width="13.140625" bestFit="1" customWidth="1"/>
    <col min="19" max="19" width="12" bestFit="1" customWidth="1"/>
  </cols>
  <sheetData>
    <row r="2" spans="1:2" x14ac:dyDescent="0.25">
      <c r="A2" s="2" t="s">
        <v>176</v>
      </c>
      <c r="B2" t="s">
        <v>184</v>
      </c>
    </row>
    <row r="4" spans="1:2" x14ac:dyDescent="0.25">
      <c r="A4" s="2" t="s">
        <v>197</v>
      </c>
      <c r="B4" t="s">
        <v>250</v>
      </c>
    </row>
    <row r="5" spans="1:2" x14ac:dyDescent="0.25">
      <c r="A5" s="3" t="s">
        <v>185</v>
      </c>
      <c r="B5" s="5">
        <v>14.313239999999999</v>
      </c>
    </row>
    <row r="6" spans="1:2" x14ac:dyDescent="0.25">
      <c r="A6" s="4">
        <v>256</v>
      </c>
      <c r="B6" s="5">
        <v>10.182499999999999</v>
      </c>
    </row>
    <row r="7" spans="1:2" x14ac:dyDescent="0.25">
      <c r="A7" s="4">
        <v>512</v>
      </c>
      <c r="B7" s="5">
        <v>10.7277</v>
      </c>
    </row>
    <row r="8" spans="1:2" x14ac:dyDescent="0.25">
      <c r="A8" s="4">
        <v>1024</v>
      </c>
      <c r="B8" s="5">
        <v>12.81</v>
      </c>
    </row>
    <row r="9" spans="1:2" x14ac:dyDescent="0.25">
      <c r="A9" s="4">
        <v>2048</v>
      </c>
      <c r="B9" s="5">
        <v>16.329799999999999</v>
      </c>
    </row>
    <row r="10" spans="1:2" x14ac:dyDescent="0.25">
      <c r="A10" s="4">
        <v>4096</v>
      </c>
      <c r="B10" s="5">
        <v>21.516200000000001</v>
      </c>
    </row>
    <row r="11" spans="1:2" x14ac:dyDescent="0.25">
      <c r="A11" s="3" t="s">
        <v>186</v>
      </c>
      <c r="B11" s="5">
        <v>14.313239999999999</v>
      </c>
    </row>
    <row r="12" spans="1:2" x14ac:dyDescent="0.25">
      <c r="A12" s="4">
        <v>256</v>
      </c>
      <c r="B12" s="5">
        <v>10.182499999999999</v>
      </c>
    </row>
    <row r="13" spans="1:2" x14ac:dyDescent="0.25">
      <c r="A13" s="4">
        <v>512</v>
      </c>
      <c r="B13" s="5">
        <v>10.7277</v>
      </c>
    </row>
    <row r="14" spans="1:2" x14ac:dyDescent="0.25">
      <c r="A14" s="4">
        <v>1024</v>
      </c>
      <c r="B14" s="5">
        <v>12.81</v>
      </c>
    </row>
    <row r="15" spans="1:2" x14ac:dyDescent="0.25">
      <c r="A15" s="4">
        <v>2048</v>
      </c>
      <c r="B15" s="5">
        <v>16.329799999999999</v>
      </c>
    </row>
    <row r="16" spans="1:2" x14ac:dyDescent="0.25">
      <c r="A16" s="4">
        <v>4096</v>
      </c>
      <c r="B16" s="5">
        <v>21.516200000000001</v>
      </c>
    </row>
    <row r="17" spans="1:2" x14ac:dyDescent="0.25">
      <c r="A17" s="3" t="s">
        <v>187</v>
      </c>
      <c r="B17" s="5">
        <v>14.313239999999999</v>
      </c>
    </row>
    <row r="18" spans="1:2" x14ac:dyDescent="0.25">
      <c r="A18" s="4">
        <v>256</v>
      </c>
      <c r="B18" s="5">
        <v>10.182499999999999</v>
      </c>
    </row>
    <row r="19" spans="1:2" x14ac:dyDescent="0.25">
      <c r="A19" s="4">
        <v>512</v>
      </c>
      <c r="B19" s="5">
        <v>10.7277</v>
      </c>
    </row>
    <row r="20" spans="1:2" x14ac:dyDescent="0.25">
      <c r="A20" s="4">
        <v>1024</v>
      </c>
      <c r="B20" s="5">
        <v>12.81</v>
      </c>
    </row>
    <row r="21" spans="1:2" x14ac:dyDescent="0.25">
      <c r="A21" s="4">
        <v>2048</v>
      </c>
      <c r="B21" s="5">
        <v>16.329799999999999</v>
      </c>
    </row>
    <row r="22" spans="1:2" x14ac:dyDescent="0.25">
      <c r="A22" s="4">
        <v>4096</v>
      </c>
      <c r="B22" s="5">
        <v>21.516200000000001</v>
      </c>
    </row>
    <row r="23" spans="1:2" x14ac:dyDescent="0.25">
      <c r="A23" s="3" t="s">
        <v>188</v>
      </c>
      <c r="B23" s="5">
        <v>14.313239999999999</v>
      </c>
    </row>
    <row r="24" spans="1:2" x14ac:dyDescent="0.25">
      <c r="A24" s="4">
        <v>256</v>
      </c>
      <c r="B24" s="5">
        <v>10.182499999999999</v>
      </c>
    </row>
    <row r="25" spans="1:2" x14ac:dyDescent="0.25">
      <c r="A25" s="4">
        <v>512</v>
      </c>
      <c r="B25" s="5">
        <v>10.7277</v>
      </c>
    </row>
    <row r="26" spans="1:2" x14ac:dyDescent="0.25">
      <c r="A26" s="4">
        <v>1024</v>
      </c>
      <c r="B26" s="5">
        <v>12.81</v>
      </c>
    </row>
    <row r="27" spans="1:2" x14ac:dyDescent="0.25">
      <c r="A27" s="4">
        <v>2048</v>
      </c>
      <c r="B27" s="5">
        <v>16.329799999999999</v>
      </c>
    </row>
    <row r="28" spans="1:2" x14ac:dyDescent="0.25">
      <c r="A28" s="4">
        <v>4096</v>
      </c>
      <c r="B28" s="5">
        <v>21.516200000000001</v>
      </c>
    </row>
    <row r="29" spans="1:2" x14ac:dyDescent="0.25">
      <c r="A29" s="3" t="s">
        <v>189</v>
      </c>
      <c r="B29" s="5">
        <v>14.313239999999999</v>
      </c>
    </row>
    <row r="30" spans="1:2" x14ac:dyDescent="0.25">
      <c r="A30" s="4">
        <v>256</v>
      </c>
      <c r="B30" s="5">
        <v>10.182499999999999</v>
      </c>
    </row>
    <row r="31" spans="1:2" x14ac:dyDescent="0.25">
      <c r="A31" s="4">
        <v>512</v>
      </c>
      <c r="B31" s="5">
        <v>10.7277</v>
      </c>
    </row>
    <row r="32" spans="1:2" x14ac:dyDescent="0.25">
      <c r="A32" s="4">
        <v>1024</v>
      </c>
      <c r="B32" s="5">
        <v>12.81</v>
      </c>
    </row>
    <row r="33" spans="1:2" x14ac:dyDescent="0.25">
      <c r="A33" s="4">
        <v>2048</v>
      </c>
      <c r="B33" s="5">
        <v>16.329799999999999</v>
      </c>
    </row>
    <row r="34" spans="1:2" x14ac:dyDescent="0.25">
      <c r="A34" s="4">
        <v>4096</v>
      </c>
      <c r="B34" s="5">
        <v>21.516200000000001</v>
      </c>
    </row>
    <row r="35" spans="1:2" x14ac:dyDescent="0.25">
      <c r="A35" s="3" t="s">
        <v>198</v>
      </c>
      <c r="B35" s="5">
        <v>14.313240000000002</v>
      </c>
    </row>
  </sheetData>
  <pageMargins left="0.7" right="0.7" top="0.75" bottom="0.75" header="0.3" footer="0.3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CD7204-3E83-4C44-AEC6-2A3712A56252}">
  <sheetPr codeName="Sheet21"/>
  <dimension ref="A2:B35"/>
  <sheetViews>
    <sheetView topLeftCell="C1" workbookViewId="0">
      <selection activeCell="D21" sqref="D21:D22"/>
    </sheetView>
  </sheetViews>
  <sheetFormatPr defaultRowHeight="15" x14ac:dyDescent="0.25"/>
  <cols>
    <col min="1" max="1" width="13.28515625" bestFit="1" customWidth="1"/>
    <col min="2" max="2" width="26.5703125" bestFit="1" customWidth="1"/>
    <col min="3" max="3" width="23" bestFit="1" customWidth="1"/>
    <col min="4" max="5" width="18" bestFit="1" customWidth="1"/>
    <col min="6" max="6" width="12" bestFit="1" customWidth="1"/>
    <col min="7" max="7" width="9" bestFit="1" customWidth="1"/>
    <col min="8" max="8" width="11.42578125" bestFit="1" customWidth="1"/>
    <col min="9" max="10" width="9" bestFit="1" customWidth="1"/>
    <col min="11" max="11" width="9.7109375" bestFit="1" customWidth="1"/>
    <col min="12" max="12" width="9" bestFit="1" customWidth="1"/>
    <col min="13" max="14" width="12" bestFit="1" customWidth="1"/>
    <col min="15" max="15" width="9" bestFit="1" customWidth="1"/>
    <col min="16" max="16" width="12" bestFit="1" customWidth="1"/>
    <col min="17" max="17" width="13.5703125" bestFit="1" customWidth="1"/>
    <col min="18" max="18" width="13.140625" bestFit="1" customWidth="1"/>
    <col min="19" max="19" width="12" bestFit="1" customWidth="1"/>
  </cols>
  <sheetData>
    <row r="2" spans="1:2" x14ac:dyDescent="0.25">
      <c r="A2" s="2" t="s">
        <v>176</v>
      </c>
      <c r="B2" t="s">
        <v>184</v>
      </c>
    </row>
    <row r="4" spans="1:2" x14ac:dyDescent="0.25">
      <c r="A4" s="2" t="s">
        <v>197</v>
      </c>
      <c r="B4" t="s">
        <v>251</v>
      </c>
    </row>
    <row r="5" spans="1:2" x14ac:dyDescent="0.25">
      <c r="A5" s="3" t="s">
        <v>185</v>
      </c>
      <c r="B5" s="5">
        <v>4.5498415036446733</v>
      </c>
    </row>
    <row r="6" spans="1:2" x14ac:dyDescent="0.25">
      <c r="A6" s="4">
        <v>256</v>
      </c>
      <c r="B6" s="5">
        <v>4.4082142911962157</v>
      </c>
    </row>
    <row r="7" spans="1:2" x14ac:dyDescent="0.25">
      <c r="A7" s="4">
        <v>512</v>
      </c>
      <c r="B7" s="5">
        <v>4.5379184037345617</v>
      </c>
    </row>
    <row r="8" spans="1:2" x14ac:dyDescent="0.25">
      <c r="A8" s="4">
        <v>1024</v>
      </c>
      <c r="B8" s="5">
        <v>4.588758450370765</v>
      </c>
    </row>
    <row r="9" spans="1:2" x14ac:dyDescent="0.25">
      <c r="A9" s="4">
        <v>2048</v>
      </c>
      <c r="B9" s="5">
        <v>4.6041402777489058</v>
      </c>
    </row>
    <row r="10" spans="1:2" x14ac:dyDescent="0.25">
      <c r="A10" s="4">
        <v>4096</v>
      </c>
      <c r="B10" s="5">
        <v>4.6101760951729176</v>
      </c>
    </row>
    <row r="11" spans="1:2" x14ac:dyDescent="0.25">
      <c r="A11" s="3" t="s">
        <v>186</v>
      </c>
      <c r="B11" s="5">
        <v>6.8416703739720175</v>
      </c>
    </row>
    <row r="12" spans="1:2" x14ac:dyDescent="0.25">
      <c r="A12" s="4">
        <v>256</v>
      </c>
      <c r="B12" s="5">
        <v>6.8680375269570471</v>
      </c>
    </row>
    <row r="13" spans="1:2" x14ac:dyDescent="0.25">
      <c r="A13" s="4">
        <v>512</v>
      </c>
      <c r="B13" s="5">
        <v>6.8626643608114408</v>
      </c>
    </row>
    <row r="14" spans="1:2" x14ac:dyDescent="0.25">
      <c r="A14" s="4">
        <v>1024</v>
      </c>
      <c r="B14" s="5">
        <v>6.8495965587626886</v>
      </c>
    </row>
    <row r="15" spans="1:2" x14ac:dyDescent="0.25">
      <c r="A15" s="4">
        <v>2048</v>
      </c>
      <c r="B15" s="5">
        <v>6.8308810470374475</v>
      </c>
    </row>
    <row r="16" spans="1:2" x14ac:dyDescent="0.25">
      <c r="A16" s="4">
        <v>4096</v>
      </c>
      <c r="B16" s="5">
        <v>6.7971723762914626</v>
      </c>
    </row>
    <row r="17" spans="1:2" x14ac:dyDescent="0.25">
      <c r="A17" s="3" t="s">
        <v>187</v>
      </c>
      <c r="B17" s="5">
        <v>1.1201601678714019</v>
      </c>
    </row>
    <row r="18" spans="1:2" x14ac:dyDescent="0.25">
      <c r="A18" s="4">
        <v>256</v>
      </c>
      <c r="B18" s="5">
        <v>1.1272894100901956</v>
      </c>
    </row>
    <row r="19" spans="1:2" x14ac:dyDescent="0.25">
      <c r="A19" s="4">
        <v>512</v>
      </c>
      <c r="B19" s="5">
        <v>1.1257961638914511</v>
      </c>
    </row>
    <row r="20" spans="1:2" x14ac:dyDescent="0.25">
      <c r="A20" s="4">
        <v>1024</v>
      </c>
      <c r="B20" s="5">
        <v>1.1220773891232216</v>
      </c>
    </row>
    <row r="21" spans="1:2" x14ac:dyDescent="0.25">
      <c r="A21" s="4">
        <v>2048</v>
      </c>
      <c r="B21" s="5">
        <v>1.1166398954857215</v>
      </c>
    </row>
    <row r="22" spans="1:2" x14ac:dyDescent="0.25">
      <c r="A22" s="4">
        <v>4096</v>
      </c>
      <c r="B22" s="5">
        <v>1.1089979807664196</v>
      </c>
    </row>
    <row r="23" spans="1:2" x14ac:dyDescent="0.25">
      <c r="A23" s="3" t="s">
        <v>188</v>
      </c>
      <c r="B23" s="5">
        <v>6.9682440450139591</v>
      </c>
    </row>
    <row r="24" spans="1:2" x14ac:dyDescent="0.25">
      <c r="A24" s="4">
        <v>256</v>
      </c>
      <c r="B24" s="5">
        <v>6.963044283067692</v>
      </c>
    </row>
    <row r="25" spans="1:2" x14ac:dyDescent="0.25">
      <c r="A25" s="4">
        <v>512</v>
      </c>
      <c r="B25" s="5">
        <v>6.9717551818250136</v>
      </c>
    </row>
    <row r="26" spans="1:2" x14ac:dyDescent="0.25">
      <c r="A26" s="4">
        <v>1024</v>
      </c>
      <c r="B26" s="5">
        <v>6.9776586812386974</v>
      </c>
    </row>
    <row r="27" spans="1:2" x14ac:dyDescent="0.25">
      <c r="A27" s="4">
        <v>2048</v>
      </c>
      <c r="B27" s="5">
        <v>6.9774779571005112</v>
      </c>
    </row>
    <row r="28" spans="1:2" x14ac:dyDescent="0.25">
      <c r="A28" s="4">
        <v>4096</v>
      </c>
      <c r="B28" s="5">
        <v>6.9512841218378814</v>
      </c>
    </row>
    <row r="29" spans="1:2" x14ac:dyDescent="0.25">
      <c r="A29" s="3" t="s">
        <v>189</v>
      </c>
      <c r="B29" s="5">
        <v>6.265932644594721</v>
      </c>
    </row>
    <row r="30" spans="1:2" x14ac:dyDescent="0.25">
      <c r="A30" s="4">
        <v>256</v>
      </c>
      <c r="B30" s="5">
        <v>6.2898849862451849</v>
      </c>
    </row>
    <row r="31" spans="1:2" x14ac:dyDescent="0.25">
      <c r="A31" s="4">
        <v>512</v>
      </c>
      <c r="B31" s="5">
        <v>6.2883041435390439</v>
      </c>
    </row>
    <row r="32" spans="1:2" x14ac:dyDescent="0.25">
      <c r="A32" s="4">
        <v>1024</v>
      </c>
      <c r="B32" s="5">
        <v>6.2749770756262491</v>
      </c>
    </row>
    <row r="33" spans="1:2" x14ac:dyDescent="0.25">
      <c r="A33" s="4">
        <v>2048</v>
      </c>
      <c r="B33" s="5">
        <v>6.2550014991987588</v>
      </c>
    </row>
    <row r="34" spans="1:2" x14ac:dyDescent="0.25">
      <c r="A34" s="4">
        <v>4096</v>
      </c>
      <c r="B34" s="5">
        <v>6.2214955183643674</v>
      </c>
    </row>
    <row r="35" spans="1:2" x14ac:dyDescent="0.25">
      <c r="A35" s="3" t="s">
        <v>198</v>
      </c>
      <c r="B35" s="5">
        <v>5.1491697470193545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data</vt:lpstr>
      <vt:lpstr>data2</vt:lpstr>
      <vt:lpstr>cache w</vt:lpstr>
      <vt:lpstr>cache w (2)</vt:lpstr>
      <vt:lpstr>cache area</vt:lpstr>
      <vt:lpstr>cache perf</vt:lpstr>
      <vt:lpstr>l1d-l1i w (2)</vt:lpstr>
      <vt:lpstr>l1d-l1i area</vt:lpstr>
      <vt:lpstr>l1d-l1i perf</vt:lpstr>
      <vt:lpstr>l1d_assoc w (2)</vt:lpstr>
      <vt:lpstr>l1d_assoc area</vt:lpstr>
      <vt:lpstr>l1d_assoc perf</vt:lpstr>
      <vt:lpstr>l1i_assoc w (2)</vt:lpstr>
      <vt:lpstr>l1i_assoc area</vt:lpstr>
      <vt:lpstr>l1i_assoc perf</vt:lpstr>
      <vt:lpstr>l2d_assoc w (2)</vt:lpstr>
      <vt:lpstr>l2d_assoc area</vt:lpstr>
      <vt:lpstr>l2d_assoc perf</vt:lpstr>
      <vt:lpstr>l2 size w (2)</vt:lpstr>
      <vt:lpstr>l2 size area</vt:lpstr>
      <vt:lpstr>l2 size perf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PhD</dc:creator>
  <cp:lastModifiedBy>PhD</cp:lastModifiedBy>
  <dcterms:created xsi:type="dcterms:W3CDTF">2019-12-17T23:07:36Z</dcterms:created>
  <dcterms:modified xsi:type="dcterms:W3CDTF">2019-12-30T00:56:35Z</dcterms:modified>
</cp:coreProperties>
</file>